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_le\Downloads\"/>
    </mc:Choice>
  </mc:AlternateContent>
  <xr:revisionPtr revIDLastSave="0" documentId="13_ncr:1_{6B9D5CC0-3B1F-4F6E-A4FF-E516C59C4672}" xr6:coauthVersionLast="47" xr6:coauthVersionMax="47" xr10:uidLastSave="{00000000-0000-0000-0000-000000000000}"/>
  <bookViews>
    <workbookView xWindow="-110" yWindow="-110" windowWidth="19420" windowHeight="10300" activeTab="3" xr2:uid="{CBF6985E-B528-49AD-B5ED-2E7613718350}"/>
  </bookViews>
  <sheets>
    <sheet name="LeafWaterPotential" sheetId="1" r:id="rId1"/>
    <sheet name="LeafArea" sheetId="3" r:id="rId2"/>
    <sheet name="RootWaterPotential" sheetId="2" r:id="rId3"/>
    <sheet name="SoilMois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9" i="1" l="1"/>
  <c r="C168" i="1"/>
  <c r="C167" i="1"/>
  <c r="C166" i="1"/>
  <c r="C165" i="1"/>
  <c r="C159" i="1"/>
  <c r="C158" i="1"/>
  <c r="C157" i="1"/>
  <c r="C156" i="1"/>
  <c r="C155" i="1"/>
  <c r="C144" i="1"/>
  <c r="C143" i="1"/>
  <c r="C142" i="1"/>
  <c r="C141" i="1"/>
  <c r="C140" i="1"/>
  <c r="C139" i="1"/>
  <c r="C138" i="1"/>
  <c r="C137" i="1"/>
  <c r="C136" i="1"/>
  <c r="C135" i="1"/>
  <c r="C133" i="1"/>
  <c r="C132" i="1"/>
  <c r="C117" i="1"/>
  <c r="C131" i="1"/>
  <c r="C130" i="1"/>
  <c r="C129" i="1"/>
  <c r="C128" i="1"/>
  <c r="C127" i="1"/>
  <c r="C123" i="1"/>
  <c r="C126" i="1"/>
  <c r="C125" i="1"/>
  <c r="C124" i="1"/>
  <c r="C122" i="1"/>
  <c r="C121" i="1"/>
  <c r="C120" i="1"/>
  <c r="C118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72" i="1"/>
  <c r="C65" i="1"/>
  <c r="C66" i="1"/>
  <c r="C67" i="1"/>
  <c r="C68" i="1"/>
  <c r="C69" i="1"/>
  <c r="C70" i="1"/>
  <c r="C71" i="1"/>
  <c r="C64" i="1"/>
  <c r="C62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61" i="1"/>
  <c r="C60" i="1"/>
  <c r="C59" i="1"/>
  <c r="C58" i="1"/>
  <c r="C42" i="1"/>
  <c r="C41" i="1"/>
  <c r="C40" i="1"/>
  <c r="C39" i="1"/>
  <c r="C38" i="1"/>
  <c r="C37" i="1"/>
  <c r="C36" i="1"/>
  <c r="C35" i="1"/>
  <c r="C34" i="1"/>
  <c r="C33" i="1"/>
  <c r="C24" i="1"/>
  <c r="C27" i="1"/>
  <c r="C28" i="1"/>
  <c r="C29" i="1"/>
  <c r="C30" i="1"/>
  <c r="C31" i="1"/>
  <c r="C26" i="1"/>
  <c r="C25" i="1"/>
  <c r="C23" i="1"/>
  <c r="C22" i="1"/>
  <c r="C21" i="1"/>
  <c r="C17" i="1"/>
  <c r="C18" i="1"/>
  <c r="C19" i="1"/>
  <c r="C20" i="1"/>
  <c r="C12" i="1"/>
  <c r="C13" i="1"/>
  <c r="C14" i="1"/>
  <c r="C15" i="1"/>
  <c r="C16" i="1"/>
  <c r="C8" i="1"/>
  <c r="C9" i="1"/>
  <c r="C10" i="1"/>
  <c r="C11" i="1"/>
  <c r="C7" i="1"/>
  <c r="C6" i="1"/>
  <c r="C5" i="1"/>
  <c r="C4" i="1"/>
  <c r="C3" i="1"/>
  <c r="C2" i="1"/>
  <c r="J53" i="1"/>
</calcChain>
</file>

<file path=xl/sharedStrings.xml><?xml version="1.0" encoding="utf-8"?>
<sst xmlns="http://schemas.openxmlformats.org/spreadsheetml/2006/main" count="866" uniqueCount="55">
  <si>
    <t>Date</t>
    <phoneticPr fontId="1" type="noConversion"/>
  </si>
  <si>
    <t>TreeID</t>
    <phoneticPr fontId="1" type="noConversion"/>
  </si>
  <si>
    <t>LeafID</t>
    <phoneticPr fontId="1" type="noConversion"/>
  </si>
  <si>
    <t>ITFSAC007</t>
  </si>
  <si>
    <t>TI05</t>
  </si>
  <si>
    <t>TI05</t>
    <phoneticPr fontId="1" type="noConversion"/>
  </si>
  <si>
    <t>TI02_green</t>
    <phoneticPr fontId="1" type="noConversion"/>
  </si>
  <si>
    <t>TI02_brown</t>
  </si>
  <si>
    <t>TI02_brown</t>
    <phoneticPr fontId="1" type="noConversion"/>
  </si>
  <si>
    <t>Measurement Time</t>
  </si>
  <si>
    <t>Collection time</t>
  </si>
  <si>
    <t>Branch height (m)</t>
  </si>
  <si>
    <t>Leaf water potential (MPa)</t>
  </si>
  <si>
    <t>Sun</t>
  </si>
  <si>
    <t>Shade</t>
  </si>
  <si>
    <t>Light status?</t>
  </si>
  <si>
    <t>Dusk</t>
  </si>
  <si>
    <t>Note</t>
  </si>
  <si>
    <t>Dawn</t>
  </si>
  <si>
    <t>Sample stuck in canopy outside bag for ~10 minutes</t>
  </si>
  <si>
    <t>Canopy position</t>
  </si>
  <si>
    <t>Upper third</t>
  </si>
  <si>
    <t>Measurer</t>
  </si>
  <si>
    <t>Half</t>
  </si>
  <si>
    <t>Natali</t>
  </si>
  <si>
    <t>Maida</t>
  </si>
  <si>
    <t>Manon</t>
  </si>
  <si>
    <t>&gt;-0.522</t>
  </si>
  <si>
    <t>Yuzuo</t>
  </si>
  <si>
    <t>&gt;-0.383</t>
  </si>
  <si>
    <t>NA</t>
  </si>
  <si>
    <t>Mateus</t>
  </si>
  <si>
    <t>Flavia</t>
  </si>
  <si>
    <t>Problem with epidermis cells? Water already oozing out before applying pressure</t>
  </si>
  <si>
    <t>Sun/Shade</t>
  </si>
  <si>
    <t>Chloe</t>
  </si>
  <si>
    <t>Depth (m)</t>
  </si>
  <si>
    <t>Root type</t>
  </si>
  <si>
    <t>Transport fine roots</t>
  </si>
  <si>
    <t>RootID</t>
  </si>
  <si>
    <t>Root water potential (MPa)</t>
  </si>
  <si>
    <t>Area of TreeID 4</t>
  </si>
  <si>
    <t>LA (cm2)</t>
  </si>
  <si>
    <t>Date</t>
  </si>
  <si>
    <t>Lucas, Mateus, Maida</t>
  </si>
  <si>
    <t>Fruits (ITFSAC007)</t>
  </si>
  <si>
    <t>TI02_Green</t>
  </si>
  <si>
    <t>TI02_Brown</t>
  </si>
  <si>
    <t>Only LA measured</t>
  </si>
  <si>
    <t>TreeID</t>
  </si>
  <si>
    <t>TI02</t>
  </si>
  <si>
    <t>Measurement time</t>
  </si>
  <si>
    <t>Soil moisture (%)</t>
  </si>
  <si>
    <t>PointID</t>
  </si>
  <si>
    <t>Bea/Maida?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</si>
</sst>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5" fontId="0" fillId="0" borderId="0" xfId="0" applyNumberFormat="1">
      <alignment vertical="center"/>
    </xf>
    <xf numFmtId="20" fontId="0" fillId="0" borderId="0" xfId="0" applyNumberFormat="1">
      <alignment vertical="center"/>
    </xf>
    <xf numFmtId="16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5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72C6-3B6C-4F54-B045-F5203210AAF8}">
  <dimension ref="A1:L171"/>
  <sheetViews>
    <sheetView topLeftCell="A148" zoomScale="52" workbookViewId="0">
      <selection activeCell="G159" sqref="G159"/>
    </sheetView>
  </sheetViews>
  <sheetFormatPr defaultRowHeight="14.5"/>
  <cols>
    <col min="1" max="1" width="10.6328125" bestFit="1" customWidth="1"/>
    <col min="2" max="2" width="16" customWidth="1"/>
    <col min="3" max="4" width="16" style="3" customWidth="1"/>
    <col min="5" max="5" width="16" customWidth="1"/>
    <col min="6" max="7" width="18.54296875" customWidth="1"/>
    <col min="8" max="8" width="13.54296875" customWidth="1"/>
    <col min="9" max="9" width="13.6328125" customWidth="1"/>
    <col min="10" max="10" width="15.90625" customWidth="1"/>
  </cols>
  <sheetData>
    <row r="1" spans="1:11">
      <c r="A1" t="s">
        <v>0</v>
      </c>
      <c r="B1" t="s">
        <v>10</v>
      </c>
      <c r="C1" s="3" t="s">
        <v>11</v>
      </c>
      <c r="D1" s="3" t="s">
        <v>20</v>
      </c>
      <c r="E1" t="s">
        <v>15</v>
      </c>
      <c r="F1" t="s">
        <v>9</v>
      </c>
      <c r="G1" t="s">
        <v>22</v>
      </c>
      <c r="H1" t="s">
        <v>1</v>
      </c>
      <c r="I1" t="s">
        <v>2</v>
      </c>
      <c r="J1" t="s">
        <v>12</v>
      </c>
      <c r="K1" t="s">
        <v>17</v>
      </c>
    </row>
    <row r="2" spans="1:11">
      <c r="A2" s="1">
        <v>45926</v>
      </c>
      <c r="B2" s="2">
        <v>0.37777777777777777</v>
      </c>
      <c r="C2" s="3">
        <f t="shared" ref="C2:C7" si="0">24 + 4*1.9</f>
        <v>31.6</v>
      </c>
      <c r="D2" s="3" t="s">
        <v>21</v>
      </c>
      <c r="E2" s="2" t="s">
        <v>13</v>
      </c>
      <c r="F2" s="2">
        <v>0.42222222222222222</v>
      </c>
      <c r="G2" s="2" t="s">
        <v>24</v>
      </c>
      <c r="H2">
        <v>232</v>
      </c>
      <c r="I2">
        <v>1</v>
      </c>
      <c r="J2">
        <v>-0.64800000000000002</v>
      </c>
    </row>
    <row r="3" spans="1:11">
      <c r="A3" s="1">
        <v>45926</v>
      </c>
      <c r="B3" s="2">
        <v>0.37777777777777777</v>
      </c>
      <c r="C3" s="3">
        <f t="shared" si="0"/>
        <v>31.6</v>
      </c>
      <c r="D3" s="3" t="s">
        <v>21</v>
      </c>
      <c r="E3" s="2" t="s">
        <v>13</v>
      </c>
      <c r="F3" s="2">
        <v>0.42222222222222222</v>
      </c>
      <c r="G3" s="2" t="s">
        <v>24</v>
      </c>
      <c r="H3">
        <v>232</v>
      </c>
      <c r="I3">
        <v>2</v>
      </c>
      <c r="J3">
        <v>-0.68700000000000006</v>
      </c>
    </row>
    <row r="4" spans="1:11">
      <c r="A4" s="1">
        <v>45926</v>
      </c>
      <c r="B4" s="2">
        <v>0.37777777777777777</v>
      </c>
      <c r="C4" s="3">
        <f t="shared" si="0"/>
        <v>31.6</v>
      </c>
      <c r="D4" s="3" t="s">
        <v>21</v>
      </c>
      <c r="E4" s="2" t="s">
        <v>13</v>
      </c>
      <c r="F4" s="2">
        <v>0.422222222222222</v>
      </c>
      <c r="G4" s="2" t="s">
        <v>24</v>
      </c>
      <c r="H4">
        <v>232</v>
      </c>
      <c r="I4">
        <v>3</v>
      </c>
      <c r="J4">
        <v>-0.58799999999999997</v>
      </c>
    </row>
    <row r="5" spans="1:11">
      <c r="A5" s="1">
        <v>45926</v>
      </c>
      <c r="B5" s="2">
        <v>0.37777777777777777</v>
      </c>
      <c r="C5" s="3">
        <f t="shared" si="0"/>
        <v>31.6</v>
      </c>
      <c r="D5" s="3" t="s">
        <v>21</v>
      </c>
      <c r="E5" s="2" t="s">
        <v>13</v>
      </c>
      <c r="F5" s="2">
        <v>0.422222222222222</v>
      </c>
      <c r="G5" s="2" t="s">
        <v>24</v>
      </c>
      <c r="H5">
        <v>232</v>
      </c>
      <c r="I5">
        <v>4</v>
      </c>
      <c r="J5">
        <v>-0.78400000000000003</v>
      </c>
    </row>
    <row r="6" spans="1:11">
      <c r="A6" s="1">
        <v>45926</v>
      </c>
      <c r="B6" s="2">
        <v>0.37777777777777777</v>
      </c>
      <c r="C6" s="3">
        <f t="shared" si="0"/>
        <v>31.6</v>
      </c>
      <c r="D6" s="3" t="s">
        <v>21</v>
      </c>
      <c r="E6" s="2" t="s">
        <v>13</v>
      </c>
      <c r="F6" s="2">
        <v>0.422222222222222</v>
      </c>
      <c r="G6" s="2" t="s">
        <v>24</v>
      </c>
      <c r="H6">
        <v>232</v>
      </c>
      <c r="I6">
        <v>5</v>
      </c>
      <c r="J6">
        <v>-0.57799999999999996</v>
      </c>
    </row>
    <row r="7" spans="1:11">
      <c r="A7" s="1">
        <v>45926</v>
      </c>
      <c r="B7" s="2">
        <v>0.4826388888888889</v>
      </c>
      <c r="C7" s="3">
        <f t="shared" si="0"/>
        <v>31.6</v>
      </c>
      <c r="D7" s="3" t="s">
        <v>21</v>
      </c>
      <c r="E7" s="2" t="s">
        <v>13</v>
      </c>
      <c r="F7" s="2">
        <v>0.51527777777777772</v>
      </c>
      <c r="G7" s="2" t="s">
        <v>54</v>
      </c>
      <c r="H7">
        <v>232</v>
      </c>
      <c r="I7">
        <v>1</v>
      </c>
      <c r="J7">
        <v>-0.89900000000000002</v>
      </c>
    </row>
    <row r="8" spans="1:11">
      <c r="A8" s="1">
        <v>45926</v>
      </c>
      <c r="B8" s="2">
        <v>0.4826388888888889</v>
      </c>
      <c r="C8" s="3">
        <f t="shared" ref="C8:C20" si="1">24 + 4*1.9</f>
        <v>31.6</v>
      </c>
      <c r="D8" s="3" t="s">
        <v>21</v>
      </c>
      <c r="E8" s="2" t="s">
        <v>13</v>
      </c>
      <c r="F8" s="2">
        <v>0.51527777777777772</v>
      </c>
      <c r="G8" s="8" t="s">
        <v>54</v>
      </c>
      <c r="H8">
        <v>232</v>
      </c>
      <c r="I8">
        <v>2</v>
      </c>
      <c r="J8">
        <v>-0.94799999999999995</v>
      </c>
    </row>
    <row r="9" spans="1:11">
      <c r="A9" s="1">
        <v>45926</v>
      </c>
      <c r="B9" s="2">
        <v>0.48263888888888901</v>
      </c>
      <c r="C9" s="3">
        <f t="shared" si="1"/>
        <v>31.6</v>
      </c>
      <c r="D9" s="3" t="s">
        <v>21</v>
      </c>
      <c r="E9" s="2" t="s">
        <v>13</v>
      </c>
      <c r="F9" s="2">
        <v>0.51527777777777795</v>
      </c>
      <c r="G9" s="8" t="s">
        <v>54</v>
      </c>
      <c r="H9">
        <v>232</v>
      </c>
      <c r="I9">
        <v>3</v>
      </c>
      <c r="J9">
        <v>-1.103</v>
      </c>
    </row>
    <row r="10" spans="1:11">
      <c r="A10" s="1">
        <v>45926</v>
      </c>
      <c r="B10" s="2">
        <v>0.48263888888888901</v>
      </c>
      <c r="C10" s="3">
        <f t="shared" si="1"/>
        <v>31.6</v>
      </c>
      <c r="D10" s="3" t="s">
        <v>21</v>
      </c>
      <c r="E10" s="2" t="s">
        <v>13</v>
      </c>
      <c r="F10" s="2">
        <v>0.51527777777777795</v>
      </c>
      <c r="G10" s="8" t="s">
        <v>54</v>
      </c>
      <c r="H10">
        <v>232</v>
      </c>
      <c r="I10">
        <v>4</v>
      </c>
      <c r="J10">
        <v>-1.016</v>
      </c>
    </row>
    <row r="11" spans="1:11">
      <c r="A11" s="1">
        <v>45926</v>
      </c>
      <c r="B11" s="2">
        <v>0.48263888888888901</v>
      </c>
      <c r="C11" s="3">
        <f t="shared" si="1"/>
        <v>31.6</v>
      </c>
      <c r="D11" s="3" t="s">
        <v>21</v>
      </c>
      <c r="E11" s="2" t="s">
        <v>13</v>
      </c>
      <c r="F11" s="2">
        <v>0.51527777777777795</v>
      </c>
      <c r="G11" s="8" t="s">
        <v>54</v>
      </c>
      <c r="H11">
        <v>232</v>
      </c>
      <c r="I11">
        <v>5</v>
      </c>
      <c r="J11">
        <v>-0.77900000000000003</v>
      </c>
    </row>
    <row r="12" spans="1:11">
      <c r="A12" s="1">
        <v>45926</v>
      </c>
      <c r="B12" s="2">
        <v>0.59583333333333333</v>
      </c>
      <c r="C12" s="3">
        <f>24 + 4*1.9</f>
        <v>31.6</v>
      </c>
      <c r="D12" s="3" t="s">
        <v>21</v>
      </c>
      <c r="E12" s="2" t="s">
        <v>13</v>
      </c>
      <c r="F12" s="2">
        <v>0.62152777777777779</v>
      </c>
      <c r="G12" s="8" t="s">
        <v>54</v>
      </c>
      <c r="H12">
        <v>232</v>
      </c>
      <c r="I12">
        <v>1</v>
      </c>
      <c r="J12">
        <v>-1.381</v>
      </c>
    </row>
    <row r="13" spans="1:11">
      <c r="A13" s="1">
        <v>45926</v>
      </c>
      <c r="B13" s="2">
        <v>0.59583333333333333</v>
      </c>
      <c r="C13" s="3">
        <f t="shared" si="1"/>
        <v>31.6</v>
      </c>
      <c r="D13" s="3" t="s">
        <v>21</v>
      </c>
      <c r="E13" s="2" t="s">
        <v>13</v>
      </c>
      <c r="F13" s="2">
        <v>0.62152777777777779</v>
      </c>
      <c r="G13" s="8" t="s">
        <v>54</v>
      </c>
      <c r="H13">
        <v>232</v>
      </c>
      <c r="I13">
        <v>2</v>
      </c>
      <c r="J13">
        <v>-0.86299999999999999</v>
      </c>
    </row>
    <row r="14" spans="1:11">
      <c r="A14" s="1">
        <v>45926</v>
      </c>
      <c r="B14" s="2">
        <v>0.59583333333333333</v>
      </c>
      <c r="C14" s="3">
        <f t="shared" si="1"/>
        <v>31.6</v>
      </c>
      <c r="D14" s="3" t="s">
        <v>21</v>
      </c>
      <c r="E14" s="2" t="s">
        <v>13</v>
      </c>
      <c r="F14" s="2">
        <v>0.62152777777777779</v>
      </c>
      <c r="G14" s="8" t="s">
        <v>54</v>
      </c>
      <c r="H14">
        <v>232</v>
      </c>
      <c r="I14">
        <v>3</v>
      </c>
      <c r="J14">
        <v>-1.43</v>
      </c>
    </row>
    <row r="15" spans="1:11">
      <c r="A15" s="1">
        <v>45926</v>
      </c>
      <c r="B15" s="2">
        <v>0.59583333333333333</v>
      </c>
      <c r="C15" s="3">
        <f t="shared" si="1"/>
        <v>31.6</v>
      </c>
      <c r="D15" s="3" t="s">
        <v>21</v>
      </c>
      <c r="E15" s="2" t="s">
        <v>13</v>
      </c>
      <c r="F15" s="2">
        <v>0.62152777777777779</v>
      </c>
      <c r="G15" s="8" t="s">
        <v>54</v>
      </c>
      <c r="H15">
        <v>232</v>
      </c>
      <c r="I15">
        <v>4</v>
      </c>
      <c r="J15">
        <v>-1.395</v>
      </c>
    </row>
    <row r="16" spans="1:11">
      <c r="A16" s="1">
        <v>45926</v>
      </c>
      <c r="B16" s="2">
        <v>0.59583333333333333</v>
      </c>
      <c r="C16" s="3">
        <f t="shared" si="1"/>
        <v>31.6</v>
      </c>
      <c r="D16" s="3" t="s">
        <v>21</v>
      </c>
      <c r="E16" s="2" t="s">
        <v>13</v>
      </c>
      <c r="F16" s="2">
        <v>0.62152777777777779</v>
      </c>
      <c r="G16" s="8" t="s">
        <v>54</v>
      </c>
      <c r="H16">
        <v>232</v>
      </c>
      <c r="I16">
        <v>5</v>
      </c>
      <c r="J16">
        <v>-1.1080000000000001</v>
      </c>
    </row>
    <row r="17" spans="1:11">
      <c r="A17" s="1">
        <v>45926</v>
      </c>
      <c r="B17" s="2">
        <v>0.69444444444444442</v>
      </c>
      <c r="C17" s="3">
        <f>24 + 4*1.9</f>
        <v>31.6</v>
      </c>
      <c r="D17" s="3" t="s">
        <v>21</v>
      </c>
      <c r="E17" s="2" t="s">
        <v>34</v>
      </c>
      <c r="F17" s="2">
        <v>0.70833333333333337</v>
      </c>
      <c r="G17" s="2" t="s">
        <v>24</v>
      </c>
      <c r="H17">
        <v>232</v>
      </c>
      <c r="I17">
        <v>1</v>
      </c>
      <c r="J17">
        <v>-0.70099999999999996</v>
      </c>
    </row>
    <row r="18" spans="1:11">
      <c r="A18" s="1">
        <v>45926</v>
      </c>
      <c r="B18" s="2">
        <v>0.69444444444444442</v>
      </c>
      <c r="C18" s="3">
        <f t="shared" si="1"/>
        <v>31.6</v>
      </c>
      <c r="D18" s="3" t="s">
        <v>21</v>
      </c>
      <c r="E18" s="2" t="s">
        <v>34</v>
      </c>
      <c r="F18" s="2">
        <v>0.70833333333333337</v>
      </c>
      <c r="G18" s="2" t="s">
        <v>24</v>
      </c>
      <c r="H18">
        <v>232</v>
      </c>
      <c r="I18">
        <v>2</v>
      </c>
      <c r="J18">
        <v>-0.7</v>
      </c>
    </row>
    <row r="19" spans="1:11">
      <c r="A19" s="1">
        <v>45926</v>
      </c>
      <c r="B19" s="2">
        <v>0.69444444444444442</v>
      </c>
      <c r="C19" s="3">
        <f t="shared" si="1"/>
        <v>31.6</v>
      </c>
      <c r="D19" s="3" t="s">
        <v>21</v>
      </c>
      <c r="E19" s="2" t="s">
        <v>34</v>
      </c>
      <c r="F19" s="2">
        <v>0.70833333333333337</v>
      </c>
      <c r="G19" s="2" t="s">
        <v>24</v>
      </c>
      <c r="H19">
        <v>232</v>
      </c>
      <c r="I19">
        <v>3</v>
      </c>
      <c r="J19">
        <v>-0.67500000000000004</v>
      </c>
    </row>
    <row r="20" spans="1:11">
      <c r="A20" s="1">
        <v>45926</v>
      </c>
      <c r="B20" s="2">
        <v>0.69444444444444442</v>
      </c>
      <c r="C20" s="3">
        <f t="shared" si="1"/>
        <v>31.6</v>
      </c>
      <c r="D20" s="3" t="s">
        <v>21</v>
      </c>
      <c r="E20" s="2" t="s">
        <v>34</v>
      </c>
      <c r="F20" s="2">
        <v>0.70833333333333337</v>
      </c>
      <c r="G20" s="2" t="s">
        <v>24</v>
      </c>
      <c r="H20">
        <v>232</v>
      </c>
      <c r="I20">
        <v>4</v>
      </c>
      <c r="J20">
        <v>-0.69399999999999995</v>
      </c>
    </row>
    <row r="21" spans="1:11">
      <c r="A21" s="1">
        <v>45926</v>
      </c>
      <c r="B21" s="2">
        <v>0.69444444444444442</v>
      </c>
      <c r="C21" s="3">
        <f>24 + 4*1.9</f>
        <v>31.6</v>
      </c>
      <c r="D21" s="3" t="s">
        <v>21</v>
      </c>
      <c r="E21" s="2" t="s">
        <v>34</v>
      </c>
      <c r="F21" s="2">
        <v>0.70833333333333337</v>
      </c>
      <c r="G21" s="2" t="s">
        <v>24</v>
      </c>
      <c r="H21">
        <v>232</v>
      </c>
      <c r="I21">
        <v>5</v>
      </c>
      <c r="J21">
        <v>-0.70099999999999996</v>
      </c>
    </row>
    <row r="22" spans="1:11">
      <c r="A22" s="1">
        <v>45926</v>
      </c>
      <c r="B22" s="2">
        <v>0.78125</v>
      </c>
      <c r="C22" s="3">
        <f t="shared" ref="C22:C31" si="2">24 + 3.5*1.9</f>
        <v>30.65</v>
      </c>
      <c r="D22" s="3" t="s">
        <v>21</v>
      </c>
      <c r="E22" s="2" t="s">
        <v>14</v>
      </c>
      <c r="F22" s="2">
        <v>0.81874999999999998</v>
      </c>
      <c r="G22" s="2" t="s">
        <v>24</v>
      </c>
      <c r="H22">
        <v>232</v>
      </c>
      <c r="I22">
        <v>1</v>
      </c>
      <c r="J22">
        <v>-0.66100000000000003</v>
      </c>
      <c r="K22" t="s">
        <v>16</v>
      </c>
    </row>
    <row r="23" spans="1:11">
      <c r="A23" s="1">
        <v>45926</v>
      </c>
      <c r="B23" s="2">
        <v>0.78125</v>
      </c>
      <c r="C23" s="3">
        <f t="shared" si="2"/>
        <v>30.65</v>
      </c>
      <c r="D23" s="3" t="s">
        <v>21</v>
      </c>
      <c r="E23" s="2" t="s">
        <v>14</v>
      </c>
      <c r="F23" s="2">
        <v>0.81874999999999998</v>
      </c>
      <c r="G23" s="2" t="s">
        <v>24</v>
      </c>
      <c r="H23">
        <v>232</v>
      </c>
      <c r="I23">
        <v>2</v>
      </c>
      <c r="J23">
        <v>-0.66200000000000003</v>
      </c>
      <c r="K23" t="s">
        <v>16</v>
      </c>
    </row>
    <row r="24" spans="1:11">
      <c r="A24" s="1">
        <v>45926</v>
      </c>
      <c r="B24" s="2">
        <v>0.78125</v>
      </c>
      <c r="C24" s="3">
        <f t="shared" si="2"/>
        <v>30.65</v>
      </c>
      <c r="D24" s="3" t="s">
        <v>21</v>
      </c>
      <c r="E24" s="2" t="s">
        <v>14</v>
      </c>
      <c r="F24" s="2">
        <v>0.81874999999999998</v>
      </c>
      <c r="G24" s="2" t="s">
        <v>24</v>
      </c>
      <c r="H24">
        <v>232</v>
      </c>
      <c r="I24">
        <v>3</v>
      </c>
      <c r="J24">
        <v>-0.65400000000000003</v>
      </c>
      <c r="K24" t="s">
        <v>16</v>
      </c>
    </row>
    <row r="25" spans="1:11">
      <c r="A25" s="1">
        <v>45926</v>
      </c>
      <c r="B25" s="2">
        <v>0.78125</v>
      </c>
      <c r="C25" s="3">
        <f t="shared" si="2"/>
        <v>30.65</v>
      </c>
      <c r="D25" s="3" t="s">
        <v>21</v>
      </c>
      <c r="E25" s="2" t="s">
        <v>14</v>
      </c>
      <c r="F25" s="2">
        <v>0.81874999999999998</v>
      </c>
      <c r="G25" s="2" t="s">
        <v>24</v>
      </c>
      <c r="H25">
        <v>232</v>
      </c>
      <c r="I25">
        <v>4</v>
      </c>
      <c r="J25">
        <v>-0.58899999999999997</v>
      </c>
      <c r="K25" t="s">
        <v>16</v>
      </c>
    </row>
    <row r="26" spans="1:11">
      <c r="A26" s="1">
        <v>45926</v>
      </c>
      <c r="B26" s="2">
        <v>0.78125</v>
      </c>
      <c r="C26" s="3">
        <f t="shared" si="2"/>
        <v>30.65</v>
      </c>
      <c r="D26" s="3" t="s">
        <v>21</v>
      </c>
      <c r="E26" s="2" t="s">
        <v>14</v>
      </c>
      <c r="F26" s="2">
        <v>0.81874999999999998</v>
      </c>
      <c r="G26" s="2" t="s">
        <v>24</v>
      </c>
      <c r="H26">
        <v>232</v>
      </c>
      <c r="I26">
        <v>5</v>
      </c>
      <c r="J26">
        <v>-0.53300000000000003</v>
      </c>
      <c r="K26" t="s">
        <v>16</v>
      </c>
    </row>
    <row r="27" spans="1:11">
      <c r="A27" s="1">
        <v>45927</v>
      </c>
      <c r="B27" s="2">
        <v>0.25138888888888888</v>
      </c>
      <c r="C27" s="3">
        <f t="shared" si="2"/>
        <v>30.65</v>
      </c>
      <c r="D27" s="3" t="s">
        <v>21</v>
      </c>
      <c r="E27" s="2" t="s">
        <v>14</v>
      </c>
      <c r="F27" s="2">
        <v>0.28819444444444442</v>
      </c>
      <c r="G27" s="2" t="s">
        <v>24</v>
      </c>
      <c r="H27">
        <v>232</v>
      </c>
      <c r="I27">
        <v>1</v>
      </c>
      <c r="J27">
        <v>-0.39</v>
      </c>
      <c r="K27" t="s">
        <v>18</v>
      </c>
    </row>
    <row r="28" spans="1:11">
      <c r="A28" s="1">
        <v>45927</v>
      </c>
      <c r="B28" s="2">
        <v>0.25138888888888888</v>
      </c>
      <c r="C28" s="3">
        <f t="shared" si="2"/>
        <v>30.65</v>
      </c>
      <c r="D28" s="3" t="s">
        <v>21</v>
      </c>
      <c r="E28" s="2" t="s">
        <v>14</v>
      </c>
      <c r="F28" s="2">
        <v>0.28819444444444442</v>
      </c>
      <c r="G28" s="2" t="s">
        <v>24</v>
      </c>
      <c r="H28">
        <v>232</v>
      </c>
      <c r="I28">
        <v>2</v>
      </c>
      <c r="J28">
        <v>-0.28100000000000003</v>
      </c>
      <c r="K28" t="s">
        <v>18</v>
      </c>
    </row>
    <row r="29" spans="1:11">
      <c r="A29" s="1">
        <v>45927</v>
      </c>
      <c r="B29" s="2">
        <v>0.25138888888888888</v>
      </c>
      <c r="C29" s="3">
        <f t="shared" si="2"/>
        <v>30.65</v>
      </c>
      <c r="D29" s="3" t="s">
        <v>21</v>
      </c>
      <c r="E29" s="2" t="s">
        <v>14</v>
      </c>
      <c r="F29" s="2">
        <v>0.28819444444444442</v>
      </c>
      <c r="G29" s="2" t="s">
        <v>24</v>
      </c>
      <c r="H29">
        <v>232</v>
      </c>
      <c r="I29">
        <v>3</v>
      </c>
      <c r="J29">
        <v>-0.21</v>
      </c>
      <c r="K29" t="s">
        <v>18</v>
      </c>
    </row>
    <row r="30" spans="1:11">
      <c r="A30" s="1">
        <v>45927</v>
      </c>
      <c r="B30" s="2">
        <v>0.25138888888888888</v>
      </c>
      <c r="C30" s="3">
        <f t="shared" si="2"/>
        <v>30.65</v>
      </c>
      <c r="D30" s="3" t="s">
        <v>21</v>
      </c>
      <c r="E30" s="2" t="s">
        <v>14</v>
      </c>
      <c r="F30" s="2">
        <v>0.28819444444444442</v>
      </c>
      <c r="G30" s="2" t="s">
        <v>24</v>
      </c>
      <c r="H30">
        <v>232</v>
      </c>
      <c r="I30">
        <v>4</v>
      </c>
      <c r="J30">
        <v>-0.20100000000000001</v>
      </c>
      <c r="K30" t="s">
        <v>18</v>
      </c>
    </row>
    <row r="31" spans="1:11">
      <c r="A31" s="1">
        <v>45927</v>
      </c>
      <c r="B31" s="2">
        <v>0.25138888888888888</v>
      </c>
      <c r="C31" s="3">
        <f t="shared" si="2"/>
        <v>30.65</v>
      </c>
      <c r="D31" s="3" t="s">
        <v>21</v>
      </c>
      <c r="E31" s="2" t="s">
        <v>14</v>
      </c>
      <c r="F31" s="2">
        <v>0.28819444444444442</v>
      </c>
      <c r="G31" s="2" t="s">
        <v>24</v>
      </c>
      <c r="H31">
        <v>232</v>
      </c>
      <c r="I31">
        <v>5</v>
      </c>
      <c r="J31">
        <v>-0.19600000000000001</v>
      </c>
      <c r="K31" t="s">
        <v>18</v>
      </c>
    </row>
    <row r="32" spans="1:11">
      <c r="A32" s="1"/>
      <c r="B32" s="2"/>
      <c r="E32" s="2"/>
      <c r="F32" s="2"/>
      <c r="G32" s="2"/>
    </row>
    <row r="33" spans="1:11">
      <c r="A33" s="1">
        <v>45926</v>
      </c>
      <c r="B33" s="2">
        <v>0.38055555555555554</v>
      </c>
      <c r="C33" s="3">
        <f t="shared" ref="C33:C42" si="3">24 + 3.5*1.9</f>
        <v>30.65</v>
      </c>
      <c r="D33" s="3" t="s">
        <v>21</v>
      </c>
      <c r="E33" s="2" t="s">
        <v>13</v>
      </c>
      <c r="F33" s="2">
        <v>0.42708333333333331</v>
      </c>
      <c r="G33" s="2" t="s">
        <v>24</v>
      </c>
      <c r="H33" t="s">
        <v>3</v>
      </c>
      <c r="I33">
        <v>1</v>
      </c>
      <c r="J33">
        <v>-0.73099999999999998</v>
      </c>
    </row>
    <row r="34" spans="1:11">
      <c r="A34" s="1">
        <v>45926</v>
      </c>
      <c r="B34" s="2">
        <v>0.38055555555555554</v>
      </c>
      <c r="C34" s="3">
        <f t="shared" si="3"/>
        <v>30.65</v>
      </c>
      <c r="D34" s="3" t="s">
        <v>21</v>
      </c>
      <c r="E34" s="2" t="s">
        <v>13</v>
      </c>
      <c r="F34" s="2">
        <v>0.42708333333333331</v>
      </c>
      <c r="G34" s="2" t="s">
        <v>24</v>
      </c>
      <c r="H34" t="s">
        <v>3</v>
      </c>
      <c r="I34">
        <v>2</v>
      </c>
      <c r="J34">
        <v>-0.45100000000000001</v>
      </c>
    </row>
    <row r="35" spans="1:11">
      <c r="A35" s="1">
        <v>45926</v>
      </c>
      <c r="B35" s="2">
        <v>0.38055555555555554</v>
      </c>
      <c r="C35" s="3">
        <f t="shared" si="3"/>
        <v>30.65</v>
      </c>
      <c r="D35" s="3" t="s">
        <v>21</v>
      </c>
      <c r="E35" s="2" t="s">
        <v>13</v>
      </c>
      <c r="F35" s="2">
        <v>0.42708333333333331</v>
      </c>
      <c r="G35" s="2" t="s">
        <v>24</v>
      </c>
      <c r="H35" t="s">
        <v>3</v>
      </c>
      <c r="I35">
        <v>3</v>
      </c>
      <c r="J35">
        <v>-0.55400000000000005</v>
      </c>
    </row>
    <row r="36" spans="1:11">
      <c r="A36" s="1">
        <v>45926</v>
      </c>
      <c r="B36" s="2">
        <v>0.38055555555555554</v>
      </c>
      <c r="C36" s="3">
        <f t="shared" si="3"/>
        <v>30.65</v>
      </c>
      <c r="D36" s="3" t="s">
        <v>21</v>
      </c>
      <c r="E36" s="2" t="s">
        <v>13</v>
      </c>
      <c r="F36" s="2">
        <v>0.42708333333333331</v>
      </c>
      <c r="G36" s="2" t="s">
        <v>24</v>
      </c>
      <c r="H36" t="s">
        <v>3</v>
      </c>
      <c r="I36">
        <v>4</v>
      </c>
      <c r="J36">
        <v>-0.73399999999999999</v>
      </c>
    </row>
    <row r="37" spans="1:11">
      <c r="A37" s="1">
        <v>45926</v>
      </c>
      <c r="B37" s="2">
        <v>0.38055555555555554</v>
      </c>
      <c r="C37" s="3">
        <f t="shared" si="3"/>
        <v>30.65</v>
      </c>
      <c r="D37" s="3" t="s">
        <v>21</v>
      </c>
      <c r="E37" s="2" t="s">
        <v>13</v>
      </c>
      <c r="F37" s="2">
        <v>0.42708333333333331</v>
      </c>
      <c r="G37" s="2" t="s">
        <v>24</v>
      </c>
      <c r="H37" t="s">
        <v>3</v>
      </c>
      <c r="I37">
        <v>5</v>
      </c>
      <c r="J37">
        <v>-0.68200000000000005</v>
      </c>
    </row>
    <row r="38" spans="1:11">
      <c r="A38" s="1">
        <v>45926</v>
      </c>
      <c r="B38" s="2">
        <v>0.48333333333333334</v>
      </c>
      <c r="C38" s="3">
        <f t="shared" si="3"/>
        <v>30.65</v>
      </c>
      <c r="D38" s="3" t="s">
        <v>21</v>
      </c>
      <c r="E38" s="2" t="s">
        <v>13</v>
      </c>
      <c r="F38" s="2">
        <v>0.52638888888888891</v>
      </c>
      <c r="G38" s="8" t="s">
        <v>54</v>
      </c>
      <c r="H38" t="s">
        <v>3</v>
      </c>
      <c r="I38">
        <v>1</v>
      </c>
      <c r="J38">
        <v>-1.0249999999999999</v>
      </c>
    </row>
    <row r="39" spans="1:11">
      <c r="A39" s="1">
        <v>45926</v>
      </c>
      <c r="B39" s="2">
        <v>0.48333333333333334</v>
      </c>
      <c r="C39" s="3">
        <f t="shared" si="3"/>
        <v>30.65</v>
      </c>
      <c r="D39" s="3" t="s">
        <v>21</v>
      </c>
      <c r="E39" s="2" t="s">
        <v>13</v>
      </c>
      <c r="F39" s="2">
        <v>0.52638888888888891</v>
      </c>
      <c r="G39" s="8" t="s">
        <v>54</v>
      </c>
      <c r="H39" t="s">
        <v>3</v>
      </c>
      <c r="I39">
        <v>2</v>
      </c>
      <c r="J39">
        <v>-0.47099999999999997</v>
      </c>
    </row>
    <row r="40" spans="1:11">
      <c r="A40" s="1">
        <v>45926</v>
      </c>
      <c r="B40" s="2">
        <v>0.48333333333333334</v>
      </c>
      <c r="C40" s="3">
        <f t="shared" si="3"/>
        <v>30.65</v>
      </c>
      <c r="D40" s="3" t="s">
        <v>21</v>
      </c>
      <c r="E40" s="2" t="s">
        <v>13</v>
      </c>
      <c r="F40" s="2">
        <v>0.52638888888888891</v>
      </c>
      <c r="G40" s="8" t="s">
        <v>54</v>
      </c>
      <c r="H40" t="s">
        <v>3</v>
      </c>
      <c r="I40">
        <v>3</v>
      </c>
      <c r="J40">
        <v>-1.232</v>
      </c>
    </row>
    <row r="41" spans="1:11">
      <c r="A41" s="1">
        <v>45926</v>
      </c>
      <c r="B41" s="2">
        <v>0.48333333333333334</v>
      </c>
      <c r="C41" s="3">
        <f t="shared" si="3"/>
        <v>30.65</v>
      </c>
      <c r="D41" s="3" t="s">
        <v>21</v>
      </c>
      <c r="E41" s="2" t="s">
        <v>13</v>
      </c>
      <c r="F41" s="2">
        <v>0.52638888888888891</v>
      </c>
      <c r="G41" s="8" t="s">
        <v>54</v>
      </c>
      <c r="H41" t="s">
        <v>3</v>
      </c>
      <c r="I41">
        <v>4</v>
      </c>
      <c r="J41">
        <v>-0.74099999999999999</v>
      </c>
    </row>
    <row r="42" spans="1:11">
      <c r="A42" s="1">
        <v>45926</v>
      </c>
      <c r="B42" s="2">
        <v>0.48333333333333334</v>
      </c>
      <c r="C42" s="3">
        <f t="shared" si="3"/>
        <v>30.65</v>
      </c>
      <c r="D42" s="3" t="s">
        <v>21</v>
      </c>
      <c r="E42" s="2" t="s">
        <v>13</v>
      </c>
      <c r="F42" s="2">
        <v>0.52638888888888891</v>
      </c>
      <c r="G42" s="8" t="s">
        <v>54</v>
      </c>
      <c r="H42" t="s">
        <v>3</v>
      </c>
      <c r="I42">
        <v>5</v>
      </c>
      <c r="J42">
        <v>-0.85499999999999998</v>
      </c>
    </row>
    <row r="43" spans="1:11">
      <c r="A43" s="1">
        <v>45926</v>
      </c>
      <c r="B43" s="2">
        <v>0.6</v>
      </c>
      <c r="C43" s="3">
        <f t="shared" ref="C43:C57" si="4">24 + 4*1.9</f>
        <v>31.6</v>
      </c>
      <c r="D43" s="3" t="s">
        <v>21</v>
      </c>
      <c r="E43" s="2" t="s">
        <v>13</v>
      </c>
      <c r="F43" s="2">
        <v>0.63124999999999998</v>
      </c>
      <c r="G43" s="8" t="s">
        <v>54</v>
      </c>
      <c r="H43" t="s">
        <v>3</v>
      </c>
      <c r="I43">
        <v>1</v>
      </c>
      <c r="J43">
        <v>-0.90800000000000003</v>
      </c>
    </row>
    <row r="44" spans="1:11">
      <c r="A44" s="1">
        <v>45926</v>
      </c>
      <c r="B44" s="2">
        <v>0.6</v>
      </c>
      <c r="C44" s="3">
        <f t="shared" si="4"/>
        <v>31.6</v>
      </c>
      <c r="D44" s="3" t="s">
        <v>21</v>
      </c>
      <c r="E44" s="2" t="s">
        <v>13</v>
      </c>
      <c r="F44" s="2">
        <v>0.63124999999999998</v>
      </c>
      <c r="G44" s="8" t="s">
        <v>54</v>
      </c>
      <c r="H44" t="s">
        <v>3</v>
      </c>
      <c r="I44">
        <v>2</v>
      </c>
      <c r="J44" t="s">
        <v>30</v>
      </c>
      <c r="K44" t="s">
        <v>29</v>
      </c>
    </row>
    <row r="45" spans="1:11">
      <c r="A45" s="1">
        <v>45926</v>
      </c>
      <c r="B45" s="2">
        <v>0.6</v>
      </c>
      <c r="C45" s="3">
        <f t="shared" si="4"/>
        <v>31.6</v>
      </c>
      <c r="D45" s="3" t="s">
        <v>21</v>
      </c>
      <c r="E45" s="2" t="s">
        <v>13</v>
      </c>
      <c r="F45" s="2">
        <v>0.63124999999999998</v>
      </c>
      <c r="G45" s="8" t="s">
        <v>54</v>
      </c>
      <c r="H45" t="s">
        <v>3</v>
      </c>
      <c r="I45">
        <v>3</v>
      </c>
      <c r="J45">
        <v>-0.34399999999999997</v>
      </c>
    </row>
    <row r="46" spans="1:11">
      <c r="A46" s="1">
        <v>45926</v>
      </c>
      <c r="B46" s="2">
        <v>0.6</v>
      </c>
      <c r="C46" s="3">
        <f t="shared" si="4"/>
        <v>31.6</v>
      </c>
      <c r="D46" s="3" t="s">
        <v>21</v>
      </c>
      <c r="E46" s="2" t="s">
        <v>13</v>
      </c>
      <c r="F46" s="2">
        <v>0.63124999999999998</v>
      </c>
      <c r="G46" s="8" t="s">
        <v>54</v>
      </c>
      <c r="H46" t="s">
        <v>3</v>
      </c>
      <c r="I46">
        <v>4</v>
      </c>
      <c r="J46">
        <v>-1.016</v>
      </c>
    </row>
    <row r="47" spans="1:11">
      <c r="A47" s="1">
        <v>45926</v>
      </c>
      <c r="B47" s="2">
        <v>0.6</v>
      </c>
      <c r="C47" s="3">
        <f t="shared" si="4"/>
        <v>31.6</v>
      </c>
      <c r="D47" s="3" t="s">
        <v>21</v>
      </c>
      <c r="E47" s="2" t="s">
        <v>13</v>
      </c>
      <c r="F47" s="2">
        <v>0.63124999999999998</v>
      </c>
      <c r="G47" s="8" t="s">
        <v>54</v>
      </c>
      <c r="H47" t="s">
        <v>3</v>
      </c>
      <c r="I47">
        <v>5</v>
      </c>
      <c r="J47">
        <v>-1.5680000000000001</v>
      </c>
    </row>
    <row r="48" spans="1:11">
      <c r="A48" s="1">
        <v>45926</v>
      </c>
      <c r="B48" s="2">
        <v>0.69652777777777775</v>
      </c>
      <c r="C48" s="3">
        <f t="shared" si="4"/>
        <v>31.6</v>
      </c>
      <c r="D48" s="3" t="s">
        <v>21</v>
      </c>
      <c r="E48" s="2" t="s">
        <v>13</v>
      </c>
      <c r="F48" s="2">
        <v>0.73958333333333337</v>
      </c>
      <c r="G48" s="2" t="s">
        <v>24</v>
      </c>
      <c r="H48" t="s">
        <v>3</v>
      </c>
      <c r="I48">
        <v>1</v>
      </c>
      <c r="J48">
        <v>-0.99399999999999999</v>
      </c>
    </row>
    <row r="49" spans="1:11">
      <c r="A49" s="1">
        <v>45926</v>
      </c>
      <c r="B49" s="2">
        <v>0.69652777777777775</v>
      </c>
      <c r="C49" s="3">
        <f t="shared" si="4"/>
        <v>31.6</v>
      </c>
      <c r="D49" s="3" t="s">
        <v>21</v>
      </c>
      <c r="E49" s="2" t="s">
        <v>13</v>
      </c>
      <c r="F49" s="2">
        <v>0.73958333333333337</v>
      </c>
      <c r="G49" s="2" t="s">
        <v>24</v>
      </c>
      <c r="H49" t="s">
        <v>3</v>
      </c>
      <c r="I49">
        <v>2</v>
      </c>
      <c r="J49">
        <v>-0.70899999999999996</v>
      </c>
    </row>
    <row r="50" spans="1:11">
      <c r="A50" s="1">
        <v>45926</v>
      </c>
      <c r="B50" s="2">
        <v>0.69652777777777775</v>
      </c>
      <c r="C50" s="3">
        <f t="shared" si="4"/>
        <v>31.6</v>
      </c>
      <c r="D50" s="3" t="s">
        <v>21</v>
      </c>
      <c r="E50" s="2" t="s">
        <v>13</v>
      </c>
      <c r="F50" s="2">
        <v>0.73958333333333337</v>
      </c>
      <c r="G50" s="2" t="s">
        <v>24</v>
      </c>
      <c r="H50" t="s">
        <v>3</v>
      </c>
      <c r="I50">
        <v>3</v>
      </c>
      <c r="J50">
        <v>-0.81299999999999994</v>
      </c>
    </row>
    <row r="51" spans="1:11">
      <c r="A51" s="1">
        <v>45926</v>
      </c>
      <c r="B51" s="2">
        <v>0.69652777777777775</v>
      </c>
      <c r="C51" s="3">
        <f t="shared" si="4"/>
        <v>31.6</v>
      </c>
      <c r="D51" s="3" t="s">
        <v>21</v>
      </c>
      <c r="E51" s="2" t="s">
        <v>13</v>
      </c>
      <c r="F51" s="2">
        <v>0.73958333333333337</v>
      </c>
      <c r="G51" s="2" t="s">
        <v>24</v>
      </c>
      <c r="H51" t="s">
        <v>3</v>
      </c>
      <c r="I51">
        <v>4</v>
      </c>
      <c r="J51">
        <v>-1.008</v>
      </c>
    </row>
    <row r="52" spans="1:11">
      <c r="A52" s="1">
        <v>45926</v>
      </c>
      <c r="B52" s="2">
        <v>0.69652777777777775</v>
      </c>
      <c r="C52" s="3">
        <f t="shared" si="4"/>
        <v>31.6</v>
      </c>
      <c r="D52" s="3" t="s">
        <v>21</v>
      </c>
      <c r="E52" s="2" t="s">
        <v>13</v>
      </c>
      <c r="F52" s="2">
        <v>0.73958333333333337</v>
      </c>
      <c r="G52" s="2" t="s">
        <v>24</v>
      </c>
      <c r="H52" t="s">
        <v>3</v>
      </c>
      <c r="I52">
        <v>5</v>
      </c>
      <c r="J52">
        <v>-0.84699999999999998</v>
      </c>
    </row>
    <row r="53" spans="1:11">
      <c r="A53" s="1">
        <v>45926</v>
      </c>
      <c r="B53" s="2">
        <v>0.78402777777777777</v>
      </c>
      <c r="C53" s="3">
        <f t="shared" si="4"/>
        <v>31.6</v>
      </c>
      <c r="D53" s="3" t="s">
        <v>21</v>
      </c>
      <c r="E53" s="2" t="s">
        <v>14</v>
      </c>
      <c r="F53" s="2">
        <v>0.85138888888888886</v>
      </c>
      <c r="G53" s="2" t="s">
        <v>31</v>
      </c>
      <c r="H53" t="s">
        <v>3</v>
      </c>
      <c r="I53">
        <v>1</v>
      </c>
      <c r="J53">
        <f>-0.67</f>
        <v>-0.67</v>
      </c>
      <c r="K53" t="s">
        <v>16</v>
      </c>
    </row>
    <row r="54" spans="1:11">
      <c r="A54" s="1">
        <v>45926</v>
      </c>
      <c r="B54" s="2">
        <v>0.78402777777777777</v>
      </c>
      <c r="C54" s="3">
        <f t="shared" si="4"/>
        <v>31.6</v>
      </c>
      <c r="D54" s="3" t="s">
        <v>21</v>
      </c>
      <c r="E54" s="2" t="s">
        <v>14</v>
      </c>
      <c r="F54" s="2">
        <v>0.85138888888888886</v>
      </c>
      <c r="G54" s="2" t="s">
        <v>31</v>
      </c>
      <c r="H54" t="s">
        <v>3</v>
      </c>
      <c r="I54">
        <v>2</v>
      </c>
      <c r="J54">
        <v>-0.754</v>
      </c>
      <c r="K54" t="s">
        <v>16</v>
      </c>
    </row>
    <row r="55" spans="1:11">
      <c r="A55" s="1">
        <v>45926</v>
      </c>
      <c r="B55" s="2">
        <v>0.78402777777777777</v>
      </c>
      <c r="C55" s="3">
        <f t="shared" si="4"/>
        <v>31.6</v>
      </c>
      <c r="D55" s="3" t="s">
        <v>21</v>
      </c>
      <c r="E55" s="2" t="s">
        <v>14</v>
      </c>
      <c r="F55" s="2">
        <v>0.85138888888888886</v>
      </c>
      <c r="G55" s="2" t="s">
        <v>31</v>
      </c>
      <c r="H55" t="s">
        <v>3</v>
      </c>
      <c r="I55">
        <v>3</v>
      </c>
      <c r="J55">
        <v>-0.56299999999999994</v>
      </c>
      <c r="K55" t="s">
        <v>16</v>
      </c>
    </row>
    <row r="56" spans="1:11">
      <c r="A56" s="1">
        <v>45926</v>
      </c>
      <c r="B56" s="2">
        <v>0.78402777777777777</v>
      </c>
      <c r="C56" s="3">
        <f t="shared" si="4"/>
        <v>31.6</v>
      </c>
      <c r="D56" s="3" t="s">
        <v>21</v>
      </c>
      <c r="E56" s="2" t="s">
        <v>14</v>
      </c>
      <c r="F56" s="2">
        <v>0.85138888888888886</v>
      </c>
      <c r="G56" s="2" t="s">
        <v>31</v>
      </c>
      <c r="H56" t="s">
        <v>3</v>
      </c>
      <c r="I56">
        <v>4</v>
      </c>
      <c r="J56">
        <v>-0.68700000000000006</v>
      </c>
      <c r="K56" t="s">
        <v>16</v>
      </c>
    </row>
    <row r="57" spans="1:11">
      <c r="A57" s="1">
        <v>45926</v>
      </c>
      <c r="B57" s="2">
        <v>0.78402777777777777</v>
      </c>
      <c r="C57" s="3">
        <f t="shared" si="4"/>
        <v>31.6</v>
      </c>
      <c r="D57" s="3" t="s">
        <v>21</v>
      </c>
      <c r="E57" s="2" t="s">
        <v>14</v>
      </c>
      <c r="F57" s="2">
        <v>0.85138888888888886</v>
      </c>
      <c r="G57" s="2" t="s">
        <v>31</v>
      </c>
      <c r="H57" t="s">
        <v>3</v>
      </c>
      <c r="I57">
        <v>5</v>
      </c>
      <c r="J57">
        <v>-0.77800000000000002</v>
      </c>
      <c r="K57" t="s">
        <v>16</v>
      </c>
    </row>
    <row r="58" spans="1:11">
      <c r="A58" s="1">
        <v>45927</v>
      </c>
      <c r="B58" s="2">
        <v>0.25486111111111109</v>
      </c>
      <c r="C58" s="3">
        <f>24 + 3.5*1.9</f>
        <v>30.65</v>
      </c>
      <c r="D58" s="3" t="s">
        <v>21</v>
      </c>
      <c r="E58" s="2" t="s">
        <v>14</v>
      </c>
      <c r="F58" s="2">
        <v>0.31944444444444442</v>
      </c>
      <c r="G58" s="2" t="s">
        <v>24</v>
      </c>
      <c r="H58" t="s">
        <v>3</v>
      </c>
      <c r="I58">
        <v>1</v>
      </c>
      <c r="J58">
        <v>-0.53800000000000003</v>
      </c>
      <c r="K58" t="s">
        <v>18</v>
      </c>
    </row>
    <row r="59" spans="1:11">
      <c r="A59" s="1">
        <v>45927</v>
      </c>
      <c r="B59" s="2">
        <v>0.25486111111111109</v>
      </c>
      <c r="C59" s="3">
        <f>24 + 3.5*1.9</f>
        <v>30.65</v>
      </c>
      <c r="D59" s="3" t="s">
        <v>21</v>
      </c>
      <c r="E59" s="2" t="s">
        <v>14</v>
      </c>
      <c r="F59" s="2">
        <v>0.31944444444444442</v>
      </c>
      <c r="G59" s="2" t="s">
        <v>24</v>
      </c>
      <c r="H59" t="s">
        <v>3</v>
      </c>
      <c r="I59">
        <v>2</v>
      </c>
      <c r="J59">
        <v>-0.38800000000000001</v>
      </c>
      <c r="K59" t="s">
        <v>18</v>
      </c>
    </row>
    <row r="60" spans="1:11">
      <c r="A60" s="1">
        <v>45927</v>
      </c>
      <c r="B60" s="2">
        <v>0.25486111111111109</v>
      </c>
      <c r="C60" s="3">
        <f>24 + 3.5*1.9</f>
        <v>30.65</v>
      </c>
      <c r="D60" s="3" t="s">
        <v>21</v>
      </c>
      <c r="E60" s="2" t="s">
        <v>14</v>
      </c>
      <c r="F60" s="2">
        <v>0.31944444444444442</v>
      </c>
      <c r="G60" s="2" t="s">
        <v>24</v>
      </c>
      <c r="H60" t="s">
        <v>3</v>
      </c>
      <c r="I60">
        <v>3</v>
      </c>
      <c r="J60">
        <v>-0.39</v>
      </c>
      <c r="K60" t="s">
        <v>18</v>
      </c>
    </row>
    <row r="61" spans="1:11">
      <c r="A61" s="1">
        <v>45927</v>
      </c>
      <c r="B61" s="2">
        <v>0.25486111111111109</v>
      </c>
      <c r="C61" s="3">
        <f>24 + 3.5*1.9</f>
        <v>30.65</v>
      </c>
      <c r="D61" s="3" t="s">
        <v>21</v>
      </c>
      <c r="E61" s="2" t="s">
        <v>14</v>
      </c>
      <c r="F61" s="2">
        <v>0.31944444444444442</v>
      </c>
      <c r="G61" s="2" t="s">
        <v>24</v>
      </c>
      <c r="H61" t="s">
        <v>3</v>
      </c>
      <c r="I61">
        <v>4</v>
      </c>
      <c r="J61">
        <v>-0.435</v>
      </c>
      <c r="K61" t="s">
        <v>18</v>
      </c>
    </row>
    <row r="62" spans="1:11">
      <c r="A62" s="1">
        <v>45927</v>
      </c>
      <c r="B62" s="2">
        <v>0.25486111111111109</v>
      </c>
      <c r="C62" s="3">
        <f>24 + 3.5*1.9</f>
        <v>30.65</v>
      </c>
      <c r="D62" s="3" t="s">
        <v>21</v>
      </c>
      <c r="E62" s="2" t="s">
        <v>14</v>
      </c>
      <c r="F62" s="2">
        <v>0.31944444444444442</v>
      </c>
      <c r="G62" s="2" t="s">
        <v>24</v>
      </c>
      <c r="H62" t="s">
        <v>3</v>
      </c>
      <c r="I62">
        <v>5</v>
      </c>
      <c r="J62">
        <v>-0.48799999999999999</v>
      </c>
      <c r="K62" t="s">
        <v>18</v>
      </c>
    </row>
    <row r="63" spans="1:11">
      <c r="B63" s="2"/>
      <c r="E63" s="2"/>
      <c r="F63" s="2"/>
      <c r="G63" s="2"/>
    </row>
    <row r="64" spans="1:11">
      <c r="A64" s="1">
        <v>45926</v>
      </c>
      <c r="B64" s="2">
        <v>0.38055555555555554</v>
      </c>
      <c r="C64" s="3">
        <f>24 + 2*1.9</f>
        <v>27.8</v>
      </c>
      <c r="D64" s="3" t="s">
        <v>21</v>
      </c>
      <c r="E64" s="2" t="s">
        <v>13</v>
      </c>
      <c r="F64" s="2">
        <v>0.44305555555555554</v>
      </c>
      <c r="G64" s="2" t="s">
        <v>25</v>
      </c>
      <c r="H64" t="s">
        <v>5</v>
      </c>
      <c r="I64">
        <v>1</v>
      </c>
      <c r="J64" s="2" t="s">
        <v>30</v>
      </c>
      <c r="K64" t="s">
        <v>27</v>
      </c>
    </row>
    <row r="65" spans="1:11">
      <c r="A65" s="1">
        <v>45926</v>
      </c>
      <c r="B65" s="2">
        <v>0.38055555555555554</v>
      </c>
      <c r="C65" s="3">
        <f t="shared" ref="C65:C71" si="5">24 + 2*1.9</f>
        <v>27.8</v>
      </c>
      <c r="D65" s="3" t="s">
        <v>21</v>
      </c>
      <c r="E65" s="2" t="s">
        <v>13</v>
      </c>
      <c r="F65" s="2">
        <v>0.44305555555555554</v>
      </c>
      <c r="G65" s="2" t="s">
        <v>26</v>
      </c>
      <c r="H65" t="s">
        <v>5</v>
      </c>
      <c r="I65">
        <v>2</v>
      </c>
      <c r="J65">
        <v>-0.34200000000000003</v>
      </c>
    </row>
    <row r="66" spans="1:11">
      <c r="A66" s="1">
        <v>45926</v>
      </c>
      <c r="B66" s="2">
        <v>0.38055555555555554</v>
      </c>
      <c r="C66" s="3">
        <f t="shared" si="5"/>
        <v>27.8</v>
      </c>
      <c r="D66" s="3" t="s">
        <v>21</v>
      </c>
      <c r="E66" s="2" t="s">
        <v>13</v>
      </c>
      <c r="F66" s="2">
        <v>0.44305555555555554</v>
      </c>
      <c r="G66" s="2" t="s">
        <v>26</v>
      </c>
      <c r="H66" t="s">
        <v>5</v>
      </c>
      <c r="I66">
        <v>3</v>
      </c>
      <c r="J66">
        <v>-0.36399999999999999</v>
      </c>
    </row>
    <row r="67" spans="1:11">
      <c r="A67" s="1">
        <v>45926</v>
      </c>
      <c r="B67" s="2">
        <v>0.38055555555555554</v>
      </c>
      <c r="C67" s="3">
        <f t="shared" si="5"/>
        <v>27.8</v>
      </c>
      <c r="D67" s="3" t="s">
        <v>21</v>
      </c>
      <c r="E67" s="2" t="s">
        <v>13</v>
      </c>
      <c r="F67" s="2">
        <v>0.44305555555555554</v>
      </c>
      <c r="G67" s="2" t="s">
        <v>26</v>
      </c>
      <c r="H67" t="s">
        <v>5</v>
      </c>
      <c r="I67">
        <v>4</v>
      </c>
      <c r="J67">
        <v>-0.26400000000000001</v>
      </c>
    </row>
    <row r="68" spans="1:11">
      <c r="A68" s="1">
        <v>45926</v>
      </c>
      <c r="B68" s="2">
        <v>0.48541666666666666</v>
      </c>
      <c r="C68" s="3">
        <f t="shared" si="5"/>
        <v>27.8</v>
      </c>
      <c r="D68" s="3" t="s">
        <v>21</v>
      </c>
      <c r="E68" s="2" t="s">
        <v>13</v>
      </c>
      <c r="F68" s="2">
        <v>0.5395833333333333</v>
      </c>
      <c r="G68" s="2" t="s">
        <v>31</v>
      </c>
      <c r="H68" t="s">
        <v>4</v>
      </c>
      <c r="I68">
        <v>1</v>
      </c>
      <c r="J68">
        <v>-0.39400000000000002</v>
      </c>
    </row>
    <row r="69" spans="1:11">
      <c r="A69" s="1">
        <v>45926</v>
      </c>
      <c r="B69" s="2">
        <v>0.48541666666666666</v>
      </c>
      <c r="C69" s="3">
        <f t="shared" si="5"/>
        <v>27.8</v>
      </c>
      <c r="D69" s="3" t="s">
        <v>21</v>
      </c>
      <c r="E69" s="2" t="s">
        <v>13</v>
      </c>
      <c r="F69" s="2">
        <v>0.5395833333333333</v>
      </c>
      <c r="G69" s="2" t="s">
        <v>31</v>
      </c>
      <c r="H69" t="s">
        <v>4</v>
      </c>
      <c r="I69">
        <v>2</v>
      </c>
      <c r="J69">
        <v>-1.0720000000000001</v>
      </c>
    </row>
    <row r="70" spans="1:11">
      <c r="A70" s="1">
        <v>45926</v>
      </c>
      <c r="B70" s="2">
        <v>0.48541666666666666</v>
      </c>
      <c r="C70" s="3">
        <f t="shared" si="5"/>
        <v>27.8</v>
      </c>
      <c r="D70" s="3" t="s">
        <v>21</v>
      </c>
      <c r="E70" s="2" t="s">
        <v>13</v>
      </c>
      <c r="F70" s="2">
        <v>0.5395833333333333</v>
      </c>
      <c r="G70" s="2" t="s">
        <v>31</v>
      </c>
      <c r="H70" t="s">
        <v>4</v>
      </c>
      <c r="I70">
        <v>3</v>
      </c>
      <c r="J70">
        <v>-0.78200000000000003</v>
      </c>
    </row>
    <row r="71" spans="1:11">
      <c r="A71" s="1">
        <v>45926</v>
      </c>
      <c r="B71" s="2">
        <v>0.48541666666666666</v>
      </c>
      <c r="C71" s="3">
        <f t="shared" si="5"/>
        <v>27.8</v>
      </c>
      <c r="D71" s="3" t="s">
        <v>21</v>
      </c>
      <c r="E71" s="2" t="s">
        <v>13</v>
      </c>
      <c r="F71" s="2">
        <v>0.5395833333333333</v>
      </c>
      <c r="G71" s="2" t="s">
        <v>31</v>
      </c>
      <c r="H71" t="s">
        <v>4</v>
      </c>
      <c r="I71">
        <v>4</v>
      </c>
      <c r="J71">
        <v>-0.19700000000000001</v>
      </c>
    </row>
    <row r="72" spans="1:11">
      <c r="A72" s="1">
        <v>45926</v>
      </c>
      <c r="B72" s="2">
        <v>0.60416666666666663</v>
      </c>
      <c r="C72" s="3">
        <f>24 + 1.9</f>
        <v>25.9</v>
      </c>
      <c r="D72" s="3" t="s">
        <v>21</v>
      </c>
      <c r="E72" s="2" t="s">
        <v>34</v>
      </c>
      <c r="F72" s="2">
        <v>0.64513888888888893</v>
      </c>
      <c r="G72" s="2" t="s">
        <v>31</v>
      </c>
      <c r="H72" t="s">
        <v>4</v>
      </c>
      <c r="I72">
        <v>1</v>
      </c>
      <c r="J72">
        <v>-1.234</v>
      </c>
    </row>
    <row r="73" spans="1:11">
      <c r="A73" s="1">
        <v>45926</v>
      </c>
      <c r="B73" s="2">
        <v>0.60416666666666663</v>
      </c>
      <c r="C73" s="3">
        <f t="shared" ref="C73:C87" si="6">24 + 1.9</f>
        <v>25.9</v>
      </c>
      <c r="D73" s="3" t="s">
        <v>21</v>
      </c>
      <c r="E73" s="2" t="s">
        <v>34</v>
      </c>
      <c r="F73" s="2">
        <v>0.64513888888888893</v>
      </c>
      <c r="G73" s="2" t="s">
        <v>31</v>
      </c>
      <c r="H73" t="s">
        <v>4</v>
      </c>
      <c r="I73">
        <v>2</v>
      </c>
      <c r="J73">
        <v>-1.173</v>
      </c>
    </row>
    <row r="74" spans="1:11">
      <c r="A74" s="1">
        <v>45926</v>
      </c>
      <c r="B74" s="2">
        <v>0.60416666666666663</v>
      </c>
      <c r="C74" s="3">
        <f t="shared" si="6"/>
        <v>25.9</v>
      </c>
      <c r="D74" s="3" t="s">
        <v>21</v>
      </c>
      <c r="E74" s="2" t="s">
        <v>34</v>
      </c>
      <c r="F74" s="2">
        <v>0.64513888888888893</v>
      </c>
      <c r="G74" s="2" t="s">
        <v>31</v>
      </c>
      <c r="H74" t="s">
        <v>4</v>
      </c>
      <c r="I74">
        <v>3</v>
      </c>
      <c r="J74">
        <v>-1.196</v>
      </c>
    </row>
    <row r="75" spans="1:11">
      <c r="A75" s="1">
        <v>45926</v>
      </c>
      <c r="B75" s="2">
        <v>0.60416666666666663</v>
      </c>
      <c r="C75" s="3">
        <f t="shared" si="6"/>
        <v>25.9</v>
      </c>
      <c r="D75" s="3" t="s">
        <v>21</v>
      </c>
      <c r="E75" s="2" t="s">
        <v>34</v>
      </c>
      <c r="F75" s="2">
        <v>0.64513888888888893</v>
      </c>
      <c r="G75" s="2" t="s">
        <v>31</v>
      </c>
      <c r="H75" t="s">
        <v>4</v>
      </c>
      <c r="I75">
        <v>4</v>
      </c>
      <c r="J75">
        <v>-1.3240000000000001</v>
      </c>
    </row>
    <row r="76" spans="1:11">
      <c r="A76" s="1">
        <v>45926</v>
      </c>
      <c r="B76" s="2">
        <v>0.70138888888888884</v>
      </c>
      <c r="C76" s="3">
        <f t="shared" si="6"/>
        <v>25.9</v>
      </c>
      <c r="D76" s="3" t="s">
        <v>21</v>
      </c>
      <c r="E76" s="2" t="s">
        <v>14</v>
      </c>
      <c r="F76" s="2">
        <v>0.77430555555555558</v>
      </c>
      <c r="G76" s="2" t="s">
        <v>24</v>
      </c>
      <c r="H76" t="s">
        <v>4</v>
      </c>
      <c r="I76">
        <v>1</v>
      </c>
      <c r="J76">
        <v>-1.153</v>
      </c>
    </row>
    <row r="77" spans="1:11">
      <c r="A77" s="1">
        <v>45926</v>
      </c>
      <c r="B77" s="2">
        <v>0.70138888888888884</v>
      </c>
      <c r="C77" s="3">
        <f t="shared" si="6"/>
        <v>25.9</v>
      </c>
      <c r="D77" s="3" t="s">
        <v>21</v>
      </c>
      <c r="E77" s="2" t="s">
        <v>14</v>
      </c>
      <c r="F77" s="2">
        <v>0.77430555555555558</v>
      </c>
      <c r="G77" s="2" t="s">
        <v>24</v>
      </c>
      <c r="H77" t="s">
        <v>4</v>
      </c>
      <c r="I77">
        <v>2</v>
      </c>
      <c r="J77">
        <v>-1.103</v>
      </c>
    </row>
    <row r="78" spans="1:11">
      <c r="A78" s="1">
        <v>45926</v>
      </c>
      <c r="B78" s="2">
        <v>0.70138888888888884</v>
      </c>
      <c r="C78" s="3">
        <f t="shared" si="6"/>
        <v>25.9</v>
      </c>
      <c r="D78" s="3" t="s">
        <v>21</v>
      </c>
      <c r="E78" s="2" t="s">
        <v>14</v>
      </c>
      <c r="F78" s="2">
        <v>0.77430555555555558</v>
      </c>
      <c r="G78" s="2" t="s">
        <v>24</v>
      </c>
      <c r="H78" t="s">
        <v>4</v>
      </c>
      <c r="I78">
        <v>3</v>
      </c>
      <c r="J78">
        <v>-0.92</v>
      </c>
    </row>
    <row r="79" spans="1:11">
      <c r="A79" s="1">
        <v>45926</v>
      </c>
      <c r="B79" s="2">
        <v>0.78819444444444442</v>
      </c>
      <c r="C79" s="3">
        <f t="shared" si="6"/>
        <v>25.9</v>
      </c>
      <c r="D79" s="3" t="s">
        <v>21</v>
      </c>
      <c r="E79" s="2" t="s">
        <v>14</v>
      </c>
      <c r="F79" s="2">
        <v>0.86319444444444449</v>
      </c>
      <c r="G79" s="2" t="s">
        <v>24</v>
      </c>
      <c r="H79" t="s">
        <v>4</v>
      </c>
      <c r="I79">
        <v>1</v>
      </c>
      <c r="J79">
        <v>-0.95599999999999996</v>
      </c>
      <c r="K79" t="s">
        <v>16</v>
      </c>
    </row>
    <row r="80" spans="1:11">
      <c r="A80" s="1">
        <v>45926</v>
      </c>
      <c r="B80" s="2">
        <v>0.78819444444444442</v>
      </c>
      <c r="C80" s="3">
        <f t="shared" si="6"/>
        <v>25.9</v>
      </c>
      <c r="D80" s="3" t="s">
        <v>21</v>
      </c>
      <c r="E80" s="2" t="s">
        <v>14</v>
      </c>
      <c r="F80" s="2">
        <v>0.86319444444444449</v>
      </c>
      <c r="G80" s="2" t="s">
        <v>24</v>
      </c>
      <c r="H80" t="s">
        <v>4</v>
      </c>
      <c r="I80">
        <v>2</v>
      </c>
      <c r="J80">
        <v>-0.34300000000000003</v>
      </c>
      <c r="K80" t="s">
        <v>16</v>
      </c>
    </row>
    <row r="81" spans="1:11">
      <c r="A81" s="1">
        <v>45926</v>
      </c>
      <c r="B81" s="2">
        <v>0.78819444444444442</v>
      </c>
      <c r="C81" s="3">
        <f t="shared" si="6"/>
        <v>25.9</v>
      </c>
      <c r="D81" s="3" t="s">
        <v>21</v>
      </c>
      <c r="E81" s="2" t="s">
        <v>14</v>
      </c>
      <c r="F81" s="2">
        <v>0.86319444444444449</v>
      </c>
      <c r="G81" s="2" t="s">
        <v>24</v>
      </c>
      <c r="H81" t="s">
        <v>4</v>
      </c>
      <c r="I81">
        <v>3</v>
      </c>
      <c r="J81">
        <v>-0.66600000000000004</v>
      </c>
      <c r="K81" t="s">
        <v>16</v>
      </c>
    </row>
    <row r="82" spans="1:11">
      <c r="A82" s="1">
        <v>45926</v>
      </c>
      <c r="B82" s="2">
        <v>0.78819444444444442</v>
      </c>
      <c r="C82" s="3">
        <f t="shared" si="6"/>
        <v>25.9</v>
      </c>
      <c r="D82" s="3" t="s">
        <v>21</v>
      </c>
      <c r="E82" s="2" t="s">
        <v>14</v>
      </c>
      <c r="F82" s="2">
        <v>0.86319444444444449</v>
      </c>
      <c r="G82" s="2" t="s">
        <v>24</v>
      </c>
      <c r="H82" t="s">
        <v>4</v>
      </c>
      <c r="I82">
        <v>4</v>
      </c>
      <c r="J82">
        <v>-0.28799999999999998</v>
      </c>
      <c r="K82" t="s">
        <v>16</v>
      </c>
    </row>
    <row r="83" spans="1:11">
      <c r="A83" s="1">
        <v>45926</v>
      </c>
      <c r="B83" s="2">
        <v>0.26180555555555557</v>
      </c>
      <c r="C83" s="3">
        <f t="shared" si="6"/>
        <v>25.9</v>
      </c>
      <c r="D83" s="3" t="s">
        <v>21</v>
      </c>
      <c r="E83" s="2" t="s">
        <v>14</v>
      </c>
      <c r="F83" s="2">
        <v>0.32777777777777778</v>
      </c>
      <c r="G83" s="2" t="s">
        <v>31</v>
      </c>
      <c r="H83" t="s">
        <v>4</v>
      </c>
      <c r="I83">
        <v>1</v>
      </c>
      <c r="J83">
        <v>-0.56000000000000005</v>
      </c>
      <c r="K83" t="s">
        <v>18</v>
      </c>
    </row>
    <row r="84" spans="1:11">
      <c r="A84" s="1">
        <v>45926</v>
      </c>
      <c r="B84" s="2">
        <v>0.26180555555555557</v>
      </c>
      <c r="C84" s="3">
        <f t="shared" si="6"/>
        <v>25.9</v>
      </c>
      <c r="D84" s="3" t="s">
        <v>21</v>
      </c>
      <c r="E84" s="2" t="s">
        <v>14</v>
      </c>
      <c r="F84" s="2">
        <v>0.32777777777777778</v>
      </c>
      <c r="G84" s="2" t="s">
        <v>31</v>
      </c>
      <c r="H84" t="s">
        <v>4</v>
      </c>
      <c r="I84">
        <v>2</v>
      </c>
      <c r="J84">
        <v>-0.59699999999999998</v>
      </c>
      <c r="K84" t="s">
        <v>18</v>
      </c>
    </row>
    <row r="85" spans="1:11">
      <c r="A85" s="1">
        <v>45926</v>
      </c>
      <c r="B85" s="2">
        <v>0.26180555555555557</v>
      </c>
      <c r="C85" s="3">
        <f t="shared" si="6"/>
        <v>25.9</v>
      </c>
      <c r="D85" s="3" t="s">
        <v>21</v>
      </c>
      <c r="E85" s="2" t="s">
        <v>14</v>
      </c>
      <c r="F85" s="2">
        <v>0.32777777777777778</v>
      </c>
      <c r="G85" s="2" t="s">
        <v>31</v>
      </c>
      <c r="H85" t="s">
        <v>4</v>
      </c>
      <c r="I85">
        <v>3</v>
      </c>
      <c r="J85">
        <v>-0.70499999999999996</v>
      </c>
      <c r="K85" t="s">
        <v>18</v>
      </c>
    </row>
    <row r="86" spans="1:11">
      <c r="A86" s="1">
        <v>45926</v>
      </c>
      <c r="B86" s="2">
        <v>0.26180555555555557</v>
      </c>
      <c r="C86" s="3">
        <f t="shared" si="6"/>
        <v>25.9</v>
      </c>
      <c r="D86" s="3" t="s">
        <v>21</v>
      </c>
      <c r="E86" s="2" t="s">
        <v>14</v>
      </c>
      <c r="F86" s="2">
        <v>0.32777777777777778</v>
      </c>
      <c r="G86" s="2" t="s">
        <v>31</v>
      </c>
      <c r="H86" t="s">
        <v>4</v>
      </c>
      <c r="I86">
        <v>4</v>
      </c>
      <c r="J86">
        <v>-0.67200000000000004</v>
      </c>
      <c r="K86" t="s">
        <v>18</v>
      </c>
    </row>
    <row r="87" spans="1:11">
      <c r="A87" s="1">
        <v>45926</v>
      </c>
      <c r="B87" s="2">
        <v>0.26180555555555557</v>
      </c>
      <c r="C87" s="3">
        <f t="shared" si="6"/>
        <v>25.9</v>
      </c>
      <c r="D87" s="3" t="s">
        <v>21</v>
      </c>
      <c r="E87" s="2" t="s">
        <v>14</v>
      </c>
      <c r="F87" s="2">
        <v>0.32777777777777778</v>
      </c>
      <c r="G87" s="2" t="s">
        <v>31</v>
      </c>
      <c r="H87" t="s">
        <v>4</v>
      </c>
      <c r="I87">
        <v>5</v>
      </c>
      <c r="J87">
        <v>-0.67700000000000005</v>
      </c>
      <c r="K87" t="s">
        <v>18</v>
      </c>
    </row>
    <row r="88" spans="1:11">
      <c r="A88" s="1"/>
      <c r="B88" s="2"/>
      <c r="E88" s="2"/>
      <c r="F88" s="2"/>
      <c r="G88" s="2"/>
    </row>
    <row r="89" spans="1:11">
      <c r="A89" s="1">
        <v>45926</v>
      </c>
      <c r="B89" s="2">
        <v>0.38750000000000001</v>
      </c>
      <c r="C89" s="3">
        <f t="shared" ref="C89:C103" si="7">24 + 2 * 1.9</f>
        <v>27.8</v>
      </c>
      <c r="D89" s="3" t="s">
        <v>21</v>
      </c>
      <c r="E89" s="2" t="s">
        <v>13</v>
      </c>
      <c r="F89" s="2">
        <v>0.44305555555555554</v>
      </c>
      <c r="G89" s="2" t="s">
        <v>28</v>
      </c>
      <c r="H89" t="s">
        <v>6</v>
      </c>
      <c r="I89">
        <v>1</v>
      </c>
      <c r="J89">
        <v>-0.309</v>
      </c>
    </row>
    <row r="90" spans="1:11">
      <c r="A90" s="1">
        <v>45926</v>
      </c>
      <c r="B90" s="2">
        <v>0.38750000000000001</v>
      </c>
      <c r="C90" s="3">
        <f t="shared" si="7"/>
        <v>27.8</v>
      </c>
      <c r="D90" s="3" t="s">
        <v>21</v>
      </c>
      <c r="E90" s="2" t="s">
        <v>13</v>
      </c>
      <c r="F90" s="2">
        <v>0.44305555555555554</v>
      </c>
      <c r="G90" s="2" t="s">
        <v>28</v>
      </c>
      <c r="H90" t="s">
        <v>6</v>
      </c>
      <c r="I90">
        <v>2</v>
      </c>
      <c r="J90">
        <v>-1.0620000000000001</v>
      </c>
    </row>
    <row r="91" spans="1:11">
      <c r="A91" s="1">
        <v>45926</v>
      </c>
      <c r="B91" s="2">
        <v>0.38750000000000001</v>
      </c>
      <c r="C91" s="3">
        <f t="shared" si="7"/>
        <v>27.8</v>
      </c>
      <c r="D91" s="3" t="s">
        <v>21</v>
      </c>
      <c r="E91" s="2" t="s">
        <v>13</v>
      </c>
      <c r="F91" s="2">
        <v>0.44305555555555554</v>
      </c>
      <c r="G91" s="2" t="s">
        <v>28</v>
      </c>
      <c r="H91" t="s">
        <v>6</v>
      </c>
      <c r="I91">
        <v>3</v>
      </c>
      <c r="J91">
        <v>-0.45300000000000001</v>
      </c>
    </row>
    <row r="92" spans="1:11">
      <c r="A92" s="1">
        <v>45926</v>
      </c>
      <c r="B92" s="2">
        <v>0.38750000000000001</v>
      </c>
      <c r="C92" s="3">
        <f t="shared" si="7"/>
        <v>27.8</v>
      </c>
      <c r="D92" s="3" t="s">
        <v>21</v>
      </c>
      <c r="E92" s="2" t="s">
        <v>13</v>
      </c>
      <c r="F92" s="2">
        <v>0.44305555555555554</v>
      </c>
      <c r="G92" s="2" t="s">
        <v>28</v>
      </c>
      <c r="H92" t="s">
        <v>6</v>
      </c>
      <c r="I92">
        <v>4</v>
      </c>
      <c r="J92">
        <v>-0.98299999999999998</v>
      </c>
    </row>
    <row r="93" spans="1:11">
      <c r="A93" s="1">
        <v>45926</v>
      </c>
      <c r="B93" s="2">
        <v>0.38750000000000001</v>
      </c>
      <c r="C93" s="3">
        <f t="shared" si="7"/>
        <v>27.8</v>
      </c>
      <c r="D93" s="3" t="s">
        <v>21</v>
      </c>
      <c r="E93" s="2" t="s">
        <v>13</v>
      </c>
      <c r="F93" s="2">
        <v>0.44305555555555554</v>
      </c>
      <c r="G93" s="2" t="s">
        <v>28</v>
      </c>
      <c r="H93" t="s">
        <v>6</v>
      </c>
      <c r="I93">
        <v>5</v>
      </c>
      <c r="J93">
        <v>-1.01</v>
      </c>
    </row>
    <row r="94" spans="1:11">
      <c r="A94" s="1">
        <v>45926</v>
      </c>
      <c r="B94" s="2">
        <v>0.48541666666666666</v>
      </c>
      <c r="C94" s="3">
        <f t="shared" si="7"/>
        <v>27.8</v>
      </c>
      <c r="D94" s="3" t="s">
        <v>21</v>
      </c>
      <c r="E94" s="2" t="s">
        <v>13</v>
      </c>
      <c r="F94" s="2">
        <v>0.55277777777777781</v>
      </c>
      <c r="G94" s="2" t="s">
        <v>28</v>
      </c>
      <c r="H94" t="s">
        <v>6</v>
      </c>
      <c r="I94">
        <v>1</v>
      </c>
      <c r="J94">
        <v>-0.39400000000000002</v>
      </c>
      <c r="K94" t="s">
        <v>19</v>
      </c>
    </row>
    <row r="95" spans="1:11">
      <c r="A95" s="1">
        <v>45926</v>
      </c>
      <c r="B95" s="2">
        <v>0.48541666666666666</v>
      </c>
      <c r="C95" s="3">
        <f t="shared" si="7"/>
        <v>27.8</v>
      </c>
      <c r="D95" s="3" t="s">
        <v>21</v>
      </c>
      <c r="E95" s="2" t="s">
        <v>13</v>
      </c>
      <c r="F95" s="2">
        <v>0.55277777777777781</v>
      </c>
      <c r="G95" s="2" t="s">
        <v>28</v>
      </c>
      <c r="H95" t="s">
        <v>6</v>
      </c>
      <c r="I95">
        <v>2</v>
      </c>
      <c r="J95">
        <v>-1.4319999999999999</v>
      </c>
      <c r="K95" t="s">
        <v>19</v>
      </c>
    </row>
    <row r="96" spans="1:11">
      <c r="A96" s="1">
        <v>45926</v>
      </c>
      <c r="B96" s="2">
        <v>0.48541666666666666</v>
      </c>
      <c r="C96" s="3">
        <f t="shared" si="7"/>
        <v>27.8</v>
      </c>
      <c r="D96" s="3" t="s">
        <v>21</v>
      </c>
      <c r="E96" s="2" t="s">
        <v>13</v>
      </c>
      <c r="F96" s="2">
        <v>0.55277777777777781</v>
      </c>
      <c r="G96" s="2" t="s">
        <v>28</v>
      </c>
      <c r="H96" t="s">
        <v>6</v>
      </c>
      <c r="I96">
        <v>3</v>
      </c>
      <c r="J96">
        <v>-1.0840000000000001</v>
      </c>
      <c r="K96" t="s">
        <v>19</v>
      </c>
    </row>
    <row r="97" spans="1:11">
      <c r="A97" s="1">
        <v>45926</v>
      </c>
      <c r="B97" s="2">
        <v>0.48541666666666666</v>
      </c>
      <c r="C97" s="3">
        <f t="shared" si="7"/>
        <v>27.8</v>
      </c>
      <c r="D97" s="3" t="s">
        <v>21</v>
      </c>
      <c r="E97" s="2" t="s">
        <v>13</v>
      </c>
      <c r="F97" s="2">
        <v>0.55277777777777781</v>
      </c>
      <c r="G97" s="2" t="s">
        <v>28</v>
      </c>
      <c r="H97" t="s">
        <v>6</v>
      </c>
      <c r="I97">
        <v>4</v>
      </c>
      <c r="J97">
        <v>-1.1379999999999999</v>
      </c>
      <c r="K97" t="s">
        <v>19</v>
      </c>
    </row>
    <row r="98" spans="1:11">
      <c r="A98" s="1">
        <v>45926</v>
      </c>
      <c r="B98" s="2">
        <v>0.48541666666666666</v>
      </c>
      <c r="C98" s="3">
        <f t="shared" si="7"/>
        <v>27.8</v>
      </c>
      <c r="D98" s="3" t="s">
        <v>21</v>
      </c>
      <c r="E98" s="2" t="s">
        <v>13</v>
      </c>
      <c r="F98" s="2">
        <v>0.55277777777777781</v>
      </c>
      <c r="G98" s="2" t="s">
        <v>28</v>
      </c>
      <c r="H98" t="s">
        <v>6</v>
      </c>
      <c r="I98">
        <v>5</v>
      </c>
      <c r="J98">
        <v>-1.024</v>
      </c>
      <c r="K98" t="s">
        <v>19</v>
      </c>
    </row>
    <row r="99" spans="1:11">
      <c r="A99" s="1">
        <v>45926</v>
      </c>
      <c r="B99" s="2">
        <v>0.60138888888888886</v>
      </c>
      <c r="C99" s="3">
        <f t="shared" si="7"/>
        <v>27.8</v>
      </c>
      <c r="D99" s="3" t="s">
        <v>21</v>
      </c>
      <c r="E99" s="2" t="s">
        <v>13</v>
      </c>
      <c r="F99" s="2">
        <v>0.65138888888888891</v>
      </c>
      <c r="G99" s="8" t="s">
        <v>54</v>
      </c>
      <c r="H99" t="s">
        <v>6</v>
      </c>
      <c r="I99">
        <v>1</v>
      </c>
      <c r="J99">
        <v>-1.76</v>
      </c>
    </row>
    <row r="100" spans="1:11">
      <c r="A100" s="1">
        <v>45926</v>
      </c>
      <c r="B100" s="2">
        <v>0.60138888888888886</v>
      </c>
      <c r="C100" s="3">
        <f t="shared" si="7"/>
        <v>27.8</v>
      </c>
      <c r="D100" s="3" t="s">
        <v>21</v>
      </c>
      <c r="E100" s="2" t="s">
        <v>13</v>
      </c>
      <c r="F100" s="2">
        <v>0.65138888888888891</v>
      </c>
      <c r="G100" s="8" t="s">
        <v>54</v>
      </c>
      <c r="H100" t="s">
        <v>6</v>
      </c>
      <c r="I100">
        <v>2</v>
      </c>
      <c r="J100">
        <v>-1.7529999999999999</v>
      </c>
    </row>
    <row r="101" spans="1:11">
      <c r="A101" s="1">
        <v>45926</v>
      </c>
      <c r="B101" s="2">
        <v>0.60138888888888886</v>
      </c>
      <c r="C101" s="3">
        <f t="shared" si="7"/>
        <v>27.8</v>
      </c>
      <c r="D101" s="3" t="s">
        <v>21</v>
      </c>
      <c r="E101" s="2" t="s">
        <v>13</v>
      </c>
      <c r="F101" s="2">
        <v>0.65138888888888891</v>
      </c>
      <c r="G101" s="8" t="s">
        <v>54</v>
      </c>
      <c r="H101" t="s">
        <v>6</v>
      </c>
      <c r="I101">
        <v>3</v>
      </c>
      <c r="J101">
        <v>-1.2350000000000001</v>
      </c>
    </row>
    <row r="102" spans="1:11">
      <c r="A102" s="1">
        <v>45926</v>
      </c>
      <c r="B102" s="2">
        <v>0.60138888888888886</v>
      </c>
      <c r="C102" s="3">
        <f t="shared" si="7"/>
        <v>27.8</v>
      </c>
      <c r="D102" s="3" t="s">
        <v>21</v>
      </c>
      <c r="E102" s="2" t="s">
        <v>13</v>
      </c>
      <c r="F102" s="2">
        <v>0.65138888888888891</v>
      </c>
      <c r="G102" s="8" t="s">
        <v>54</v>
      </c>
      <c r="H102" t="s">
        <v>6</v>
      </c>
      <c r="I102">
        <v>4</v>
      </c>
      <c r="J102">
        <v>-1.7030000000000001</v>
      </c>
    </row>
    <row r="103" spans="1:11">
      <c r="A103" s="1">
        <v>45926</v>
      </c>
      <c r="B103" s="2">
        <v>0.60138888888888886</v>
      </c>
      <c r="C103" s="3">
        <f t="shared" si="7"/>
        <v>27.8</v>
      </c>
      <c r="D103" s="3" t="s">
        <v>21</v>
      </c>
      <c r="E103" s="2" t="s">
        <v>13</v>
      </c>
      <c r="F103" s="2">
        <v>0.65138888888888891</v>
      </c>
      <c r="G103" s="8" t="s">
        <v>54</v>
      </c>
      <c r="H103" t="s">
        <v>6</v>
      </c>
      <c r="I103">
        <v>5</v>
      </c>
      <c r="J103">
        <v>-1.821</v>
      </c>
    </row>
    <row r="104" spans="1:11">
      <c r="A104" s="1">
        <v>45926</v>
      </c>
      <c r="B104" s="2">
        <v>0.7</v>
      </c>
      <c r="C104" s="3">
        <f t="shared" ref="C104:C113" si="8">24 + 3 * 1.9</f>
        <v>29.7</v>
      </c>
      <c r="D104" s="3" t="s">
        <v>21</v>
      </c>
      <c r="E104" s="2" t="s">
        <v>34</v>
      </c>
      <c r="F104" s="2">
        <v>0.71875</v>
      </c>
      <c r="G104" s="2" t="s">
        <v>24</v>
      </c>
      <c r="H104" t="s">
        <v>6</v>
      </c>
      <c r="I104">
        <v>1</v>
      </c>
      <c r="J104">
        <v>-0.995</v>
      </c>
    </row>
    <row r="105" spans="1:11">
      <c r="A105" s="1">
        <v>45926</v>
      </c>
      <c r="B105" s="2">
        <v>0.7</v>
      </c>
      <c r="C105" s="3">
        <f t="shared" si="8"/>
        <v>29.7</v>
      </c>
      <c r="D105" s="3" t="s">
        <v>21</v>
      </c>
      <c r="E105" s="2" t="s">
        <v>34</v>
      </c>
      <c r="F105" s="2">
        <v>0.71875</v>
      </c>
      <c r="G105" s="2" t="s">
        <v>24</v>
      </c>
      <c r="H105" t="s">
        <v>6</v>
      </c>
      <c r="I105">
        <v>2</v>
      </c>
      <c r="J105">
        <v>-1.085</v>
      </c>
    </row>
    <row r="106" spans="1:11">
      <c r="A106" s="1">
        <v>45926</v>
      </c>
      <c r="B106" s="2">
        <v>0.7</v>
      </c>
      <c r="C106" s="3">
        <f t="shared" si="8"/>
        <v>29.7</v>
      </c>
      <c r="D106" s="3" t="s">
        <v>21</v>
      </c>
      <c r="E106" s="2" t="s">
        <v>34</v>
      </c>
      <c r="F106" s="2">
        <v>0.71875</v>
      </c>
      <c r="G106" s="2" t="s">
        <v>24</v>
      </c>
      <c r="H106" t="s">
        <v>6</v>
      </c>
      <c r="I106">
        <v>3</v>
      </c>
      <c r="J106">
        <v>-1.1819999999999999</v>
      </c>
    </row>
    <row r="107" spans="1:11">
      <c r="A107" s="1">
        <v>45926</v>
      </c>
      <c r="B107" s="2">
        <v>0.7</v>
      </c>
      <c r="C107" s="3">
        <f t="shared" si="8"/>
        <v>29.7</v>
      </c>
      <c r="D107" s="3" t="s">
        <v>21</v>
      </c>
      <c r="E107" s="2" t="s">
        <v>34</v>
      </c>
      <c r="F107" s="2">
        <v>0.71875</v>
      </c>
      <c r="G107" s="2" t="s">
        <v>24</v>
      </c>
      <c r="H107" t="s">
        <v>6</v>
      </c>
      <c r="I107">
        <v>4</v>
      </c>
      <c r="J107">
        <v>-0.88400000000000001</v>
      </c>
    </row>
    <row r="108" spans="1:11">
      <c r="A108" s="1">
        <v>45926</v>
      </c>
      <c r="B108" s="2">
        <v>0.7</v>
      </c>
      <c r="C108" s="3">
        <f t="shared" si="8"/>
        <v>29.7</v>
      </c>
      <c r="D108" s="3" t="s">
        <v>21</v>
      </c>
      <c r="E108" s="2" t="s">
        <v>34</v>
      </c>
      <c r="F108" s="2">
        <v>0.71875</v>
      </c>
      <c r="G108" s="2" t="s">
        <v>24</v>
      </c>
      <c r="H108" t="s">
        <v>6</v>
      </c>
      <c r="I108">
        <v>5</v>
      </c>
      <c r="J108">
        <v>-1.284</v>
      </c>
    </row>
    <row r="109" spans="1:11">
      <c r="A109" s="1">
        <v>45926</v>
      </c>
      <c r="B109" s="2">
        <v>0.79166666666666663</v>
      </c>
      <c r="C109" s="3">
        <f t="shared" si="8"/>
        <v>29.7</v>
      </c>
      <c r="D109" s="3" t="s">
        <v>21</v>
      </c>
      <c r="E109" s="2" t="s">
        <v>14</v>
      </c>
      <c r="F109" s="2">
        <v>0.82638888888888884</v>
      </c>
      <c r="G109" s="2" t="s">
        <v>24</v>
      </c>
      <c r="H109" t="s">
        <v>6</v>
      </c>
      <c r="I109">
        <v>1</v>
      </c>
      <c r="J109">
        <v>-0.81599999999999995</v>
      </c>
      <c r="K109" t="s">
        <v>16</v>
      </c>
    </row>
    <row r="110" spans="1:11">
      <c r="A110" s="1">
        <v>45926</v>
      </c>
      <c r="B110" s="2">
        <v>0.79166666666666663</v>
      </c>
      <c r="C110" s="3">
        <f t="shared" si="8"/>
        <v>29.7</v>
      </c>
      <c r="D110" s="3" t="s">
        <v>21</v>
      </c>
      <c r="E110" s="2" t="s">
        <v>14</v>
      </c>
      <c r="F110" s="2">
        <v>0.82638888888888884</v>
      </c>
      <c r="G110" s="2" t="s">
        <v>24</v>
      </c>
      <c r="H110" t="s">
        <v>6</v>
      </c>
      <c r="I110">
        <v>2</v>
      </c>
      <c r="J110">
        <v>-0.81299999999999994</v>
      </c>
      <c r="K110" t="s">
        <v>16</v>
      </c>
    </row>
    <row r="111" spans="1:11">
      <c r="A111" s="1">
        <v>45926</v>
      </c>
      <c r="B111" s="2">
        <v>0.79166666666666663</v>
      </c>
      <c r="C111" s="3">
        <f t="shared" si="8"/>
        <v>29.7</v>
      </c>
      <c r="D111" s="3" t="s">
        <v>21</v>
      </c>
      <c r="E111" s="2" t="s">
        <v>14</v>
      </c>
      <c r="F111" s="2">
        <v>0.82638888888888884</v>
      </c>
      <c r="G111" s="2" t="s">
        <v>24</v>
      </c>
      <c r="H111" t="s">
        <v>6</v>
      </c>
      <c r="I111">
        <v>3</v>
      </c>
      <c r="J111">
        <v>-0.85499999999999998</v>
      </c>
      <c r="K111" t="s">
        <v>16</v>
      </c>
    </row>
    <row r="112" spans="1:11">
      <c r="A112" s="1">
        <v>45926</v>
      </c>
      <c r="B112" s="2">
        <v>0.79166666666666663</v>
      </c>
      <c r="C112" s="3">
        <f t="shared" si="8"/>
        <v>29.7</v>
      </c>
      <c r="D112" s="3" t="s">
        <v>21</v>
      </c>
      <c r="E112" s="2" t="s">
        <v>14</v>
      </c>
      <c r="F112" s="2">
        <v>0.82638888888888884</v>
      </c>
      <c r="G112" s="2" t="s">
        <v>24</v>
      </c>
      <c r="H112" t="s">
        <v>6</v>
      </c>
      <c r="I112">
        <v>4</v>
      </c>
      <c r="J112">
        <v>-0.84</v>
      </c>
      <c r="K112" t="s">
        <v>16</v>
      </c>
    </row>
    <row r="113" spans="1:11">
      <c r="A113" s="1">
        <v>45926</v>
      </c>
      <c r="B113" s="2">
        <v>0.79166666666666663</v>
      </c>
      <c r="C113" s="3">
        <f t="shared" si="8"/>
        <v>29.7</v>
      </c>
      <c r="D113" s="3" t="s">
        <v>21</v>
      </c>
      <c r="E113" s="2" t="s">
        <v>14</v>
      </c>
      <c r="F113" s="2">
        <v>0.82638888888888884</v>
      </c>
      <c r="G113" s="2" t="s">
        <v>24</v>
      </c>
      <c r="H113" t="s">
        <v>6</v>
      </c>
      <c r="I113">
        <v>5</v>
      </c>
      <c r="J113">
        <v>-0.92800000000000005</v>
      </c>
      <c r="K113" t="s">
        <v>16</v>
      </c>
    </row>
    <row r="114" spans="1:11">
      <c r="A114" s="1">
        <v>45927</v>
      </c>
      <c r="B114" s="2">
        <v>0.2590277777777778</v>
      </c>
      <c r="C114" s="3">
        <f>24 + 2 * 1.9</f>
        <v>27.8</v>
      </c>
      <c r="D114" s="3" t="s">
        <v>21</v>
      </c>
      <c r="E114" s="2" t="s">
        <v>14</v>
      </c>
      <c r="F114" s="2">
        <v>0.2986111111111111</v>
      </c>
      <c r="G114" s="2" t="s">
        <v>24</v>
      </c>
      <c r="H114" t="s">
        <v>6</v>
      </c>
      <c r="I114">
        <v>1</v>
      </c>
      <c r="J114">
        <v>-0.53200000000000003</v>
      </c>
      <c r="K114" t="s">
        <v>18</v>
      </c>
    </row>
    <row r="115" spans="1:11">
      <c r="A115" s="1">
        <v>45927</v>
      </c>
      <c r="B115" s="2">
        <v>0.2590277777777778</v>
      </c>
      <c r="C115" s="3">
        <f>24 + 2 * 1.9</f>
        <v>27.8</v>
      </c>
      <c r="D115" s="3" t="s">
        <v>21</v>
      </c>
      <c r="E115" s="2" t="s">
        <v>14</v>
      </c>
      <c r="F115" s="2">
        <v>0.2986111111111111</v>
      </c>
      <c r="G115" s="2" t="s">
        <v>24</v>
      </c>
      <c r="H115" t="s">
        <v>6</v>
      </c>
      <c r="I115">
        <v>2</v>
      </c>
      <c r="J115">
        <v>-0.41599999999999998</v>
      </c>
      <c r="K115" t="s">
        <v>18</v>
      </c>
    </row>
    <row r="116" spans="1:11">
      <c r="A116" s="1">
        <v>45927</v>
      </c>
      <c r="B116" s="2">
        <v>0.2590277777777778</v>
      </c>
      <c r="C116" s="3">
        <f>24 + 2 * 1.9</f>
        <v>27.8</v>
      </c>
      <c r="D116" s="3" t="s">
        <v>21</v>
      </c>
      <c r="E116" s="2" t="s">
        <v>14</v>
      </c>
      <c r="F116" s="2">
        <v>0.2986111111111111</v>
      </c>
      <c r="G116" s="2" t="s">
        <v>24</v>
      </c>
      <c r="H116" t="s">
        <v>6</v>
      </c>
      <c r="I116">
        <v>3</v>
      </c>
      <c r="J116">
        <v>-0.40699999999999997</v>
      </c>
      <c r="K116" t="s">
        <v>18</v>
      </c>
    </row>
    <row r="117" spans="1:11">
      <c r="A117" s="1">
        <v>45927</v>
      </c>
      <c r="B117" s="2">
        <v>0.2590277777777778</v>
      </c>
      <c r="C117" s="3">
        <f>24 + 2 * 1.9</f>
        <v>27.8</v>
      </c>
      <c r="D117" s="3" t="s">
        <v>21</v>
      </c>
      <c r="E117" s="2" t="s">
        <v>14</v>
      </c>
      <c r="F117" s="2">
        <v>0.2986111111111111</v>
      </c>
      <c r="G117" s="2" t="s">
        <v>24</v>
      </c>
      <c r="H117" t="s">
        <v>6</v>
      </c>
      <c r="I117">
        <v>4</v>
      </c>
      <c r="J117">
        <v>-0.39100000000000001</v>
      </c>
      <c r="K117" t="s">
        <v>18</v>
      </c>
    </row>
    <row r="118" spans="1:11">
      <c r="A118" s="1">
        <v>45927</v>
      </c>
      <c r="B118" s="2">
        <v>0.2590277777777778</v>
      </c>
      <c r="C118" s="3">
        <f>24 + 2 * 1.9</f>
        <v>27.8</v>
      </c>
      <c r="D118" s="3" t="s">
        <v>21</v>
      </c>
      <c r="E118" s="2" t="s">
        <v>14</v>
      </c>
      <c r="F118" s="2">
        <v>0.2986111111111111</v>
      </c>
      <c r="G118" s="2" t="s">
        <v>24</v>
      </c>
      <c r="H118" t="s">
        <v>6</v>
      </c>
      <c r="I118">
        <v>5</v>
      </c>
      <c r="J118">
        <v>-0.498</v>
      </c>
      <c r="K118" t="s">
        <v>18</v>
      </c>
    </row>
    <row r="119" spans="1:11">
      <c r="A119" s="1"/>
      <c r="B119" s="2"/>
      <c r="E119" s="2"/>
      <c r="F119" s="2"/>
      <c r="G119" s="2"/>
    </row>
    <row r="120" spans="1:11">
      <c r="A120" s="1">
        <v>45926</v>
      </c>
      <c r="B120" s="2">
        <v>0.38750000000000001</v>
      </c>
      <c r="C120" s="3">
        <f t="shared" ref="C120:C126" si="9">24 + 2 * 1.9</f>
        <v>27.8</v>
      </c>
      <c r="D120" s="3" t="s">
        <v>21</v>
      </c>
      <c r="E120" s="2" t="s">
        <v>13</v>
      </c>
      <c r="F120" s="2">
        <v>0.4548611111111111</v>
      </c>
      <c r="G120" s="2" t="s">
        <v>28</v>
      </c>
      <c r="H120" t="s">
        <v>8</v>
      </c>
      <c r="I120">
        <v>1</v>
      </c>
      <c r="J120">
        <v>-0.81</v>
      </c>
    </row>
    <row r="121" spans="1:11">
      <c r="A121" s="1">
        <v>45926</v>
      </c>
      <c r="B121" s="2">
        <v>0.38750000000000001</v>
      </c>
      <c r="C121" s="3">
        <f t="shared" si="9"/>
        <v>27.8</v>
      </c>
      <c r="D121" s="3" t="s">
        <v>21</v>
      </c>
      <c r="E121" s="2" t="s">
        <v>13</v>
      </c>
      <c r="F121" s="2">
        <v>0.4548611111111111</v>
      </c>
      <c r="G121" s="2" t="s">
        <v>32</v>
      </c>
      <c r="H121" t="s">
        <v>8</v>
      </c>
      <c r="I121">
        <v>2</v>
      </c>
      <c r="J121">
        <v>-0.255</v>
      </c>
    </row>
    <row r="122" spans="1:11">
      <c r="A122" s="1">
        <v>45926</v>
      </c>
      <c r="B122" s="2">
        <v>0.38750000000000001</v>
      </c>
      <c r="C122" s="3">
        <f t="shared" si="9"/>
        <v>27.8</v>
      </c>
      <c r="D122" s="3" t="s">
        <v>21</v>
      </c>
      <c r="E122" s="2" t="s">
        <v>13</v>
      </c>
      <c r="F122" s="2">
        <v>0.4548611111111111</v>
      </c>
      <c r="G122" s="8" t="s">
        <v>32</v>
      </c>
      <c r="H122" t="s">
        <v>7</v>
      </c>
      <c r="I122">
        <v>3</v>
      </c>
      <c r="J122">
        <v>-1.1599999999999999</v>
      </c>
    </row>
    <row r="123" spans="1:11">
      <c r="A123" s="1">
        <v>45926</v>
      </c>
      <c r="B123" s="2">
        <v>0.48541666666666666</v>
      </c>
      <c r="C123" s="3">
        <f t="shared" si="9"/>
        <v>27.8</v>
      </c>
      <c r="D123" s="3" t="s">
        <v>21</v>
      </c>
      <c r="E123" s="2" t="s">
        <v>13</v>
      </c>
      <c r="F123" s="2">
        <v>0.56597222222222221</v>
      </c>
      <c r="G123" s="2" t="s">
        <v>28</v>
      </c>
      <c r="H123" t="s">
        <v>7</v>
      </c>
      <c r="I123">
        <v>1</v>
      </c>
      <c r="J123">
        <v>-0.66900000000000004</v>
      </c>
      <c r="K123" t="s">
        <v>19</v>
      </c>
    </row>
    <row r="124" spans="1:11">
      <c r="A124" s="1">
        <v>45926</v>
      </c>
      <c r="B124" s="2">
        <v>0.48541666666666666</v>
      </c>
      <c r="C124" s="3">
        <f t="shared" si="9"/>
        <v>27.8</v>
      </c>
      <c r="D124" s="3" t="s">
        <v>21</v>
      </c>
      <c r="E124" s="2" t="s">
        <v>13</v>
      </c>
      <c r="F124" s="2">
        <v>0.56597222222222221</v>
      </c>
      <c r="G124" s="2" t="s">
        <v>28</v>
      </c>
      <c r="H124" t="s">
        <v>7</v>
      </c>
      <c r="I124">
        <v>2</v>
      </c>
      <c r="J124">
        <v>-1.1060000000000001</v>
      </c>
      <c r="K124" t="s">
        <v>19</v>
      </c>
    </row>
    <row r="125" spans="1:11">
      <c r="A125" s="1">
        <v>45926</v>
      </c>
      <c r="B125" s="2">
        <v>0.60138888888888886</v>
      </c>
      <c r="C125" s="3">
        <f t="shared" si="9"/>
        <v>27.8</v>
      </c>
      <c r="D125" s="3" t="s">
        <v>21</v>
      </c>
      <c r="E125" s="2" t="s">
        <v>13</v>
      </c>
      <c r="F125" s="2">
        <v>0.66041666666666665</v>
      </c>
      <c r="G125" s="8" t="s">
        <v>28</v>
      </c>
      <c r="H125" t="s">
        <v>7</v>
      </c>
      <c r="I125">
        <v>1</v>
      </c>
      <c r="J125">
        <v>-1.6359999999999999</v>
      </c>
    </row>
    <row r="126" spans="1:11">
      <c r="A126" s="1">
        <v>45926</v>
      </c>
      <c r="B126" s="2">
        <v>0.60138888888888886</v>
      </c>
      <c r="C126" s="3">
        <f t="shared" si="9"/>
        <v>27.8</v>
      </c>
      <c r="D126" s="3" t="s">
        <v>21</v>
      </c>
      <c r="E126" s="2" t="s">
        <v>13</v>
      </c>
      <c r="F126" s="2">
        <v>0.66041666666666665</v>
      </c>
      <c r="G126" s="8" t="s">
        <v>28</v>
      </c>
      <c r="H126" t="s">
        <v>7</v>
      </c>
      <c r="I126">
        <v>2</v>
      </c>
      <c r="J126">
        <v>-1.59</v>
      </c>
    </row>
    <row r="127" spans="1:11">
      <c r="A127" s="1">
        <v>45926</v>
      </c>
      <c r="B127" s="2">
        <v>0.7</v>
      </c>
      <c r="C127" s="3">
        <f>24 + 3 * 1.9</f>
        <v>29.7</v>
      </c>
      <c r="D127" s="3" t="s">
        <v>21</v>
      </c>
      <c r="E127" s="2" t="s">
        <v>34</v>
      </c>
      <c r="F127" s="2">
        <v>0.72916666666666663</v>
      </c>
      <c r="G127" s="2" t="s">
        <v>24</v>
      </c>
      <c r="H127" t="s">
        <v>7</v>
      </c>
      <c r="I127">
        <v>1</v>
      </c>
      <c r="J127">
        <v>-0.86399999999999999</v>
      </c>
    </row>
    <row r="128" spans="1:11">
      <c r="A128" s="1">
        <v>45926</v>
      </c>
      <c r="B128" s="2">
        <v>0.7</v>
      </c>
      <c r="C128" s="3">
        <f>24 + 3 * 1.9</f>
        <v>29.7</v>
      </c>
      <c r="D128" s="3" t="s">
        <v>21</v>
      </c>
      <c r="E128" s="2" t="s">
        <v>34</v>
      </c>
      <c r="F128" s="2">
        <v>0.72916666666666663</v>
      </c>
      <c r="G128" s="2" t="s">
        <v>24</v>
      </c>
      <c r="H128" t="s">
        <v>7</v>
      </c>
      <c r="I128">
        <v>2</v>
      </c>
      <c r="J128">
        <v>-1.159</v>
      </c>
    </row>
    <row r="129" spans="1:11">
      <c r="A129" s="1">
        <v>45926</v>
      </c>
      <c r="B129" s="2">
        <v>0.7</v>
      </c>
      <c r="C129" s="3">
        <f>24 + 3 * 1.9</f>
        <v>29.7</v>
      </c>
      <c r="D129" s="3" t="s">
        <v>21</v>
      </c>
      <c r="E129" s="2" t="s">
        <v>34</v>
      </c>
      <c r="F129" s="2">
        <v>0.72916666666666663</v>
      </c>
      <c r="G129" s="2" t="s">
        <v>24</v>
      </c>
      <c r="H129" t="s">
        <v>7</v>
      </c>
      <c r="I129">
        <v>3</v>
      </c>
      <c r="J129">
        <v>-1.19</v>
      </c>
    </row>
    <row r="130" spans="1:11">
      <c r="A130" s="1">
        <v>45926</v>
      </c>
      <c r="B130" s="2">
        <v>0.79166666666666663</v>
      </c>
      <c r="C130" s="3">
        <f>24 + 3 * 1.9</f>
        <v>29.7</v>
      </c>
      <c r="D130" s="3" t="s">
        <v>21</v>
      </c>
      <c r="E130" s="2" t="s">
        <v>14</v>
      </c>
      <c r="F130" s="2">
        <v>0.83680555555555558</v>
      </c>
      <c r="G130" s="2" t="s">
        <v>24</v>
      </c>
      <c r="H130" t="s">
        <v>7</v>
      </c>
      <c r="I130">
        <v>1</v>
      </c>
      <c r="J130">
        <v>-1.103</v>
      </c>
      <c r="K130" t="s">
        <v>16</v>
      </c>
    </row>
    <row r="131" spans="1:11">
      <c r="A131" s="1">
        <v>45926</v>
      </c>
      <c r="B131" s="2">
        <v>0.79166666666666663</v>
      </c>
      <c r="C131" s="3">
        <f>24 + 3 * 1.9</f>
        <v>29.7</v>
      </c>
      <c r="D131" s="3" t="s">
        <v>21</v>
      </c>
      <c r="E131" s="2" t="s">
        <v>14</v>
      </c>
      <c r="F131" s="2">
        <v>0.83680555555555558</v>
      </c>
      <c r="G131" s="2" t="s">
        <v>24</v>
      </c>
      <c r="H131" t="s">
        <v>7</v>
      </c>
      <c r="I131">
        <v>2</v>
      </c>
      <c r="J131">
        <v>-0.70299999999999996</v>
      </c>
      <c r="K131" t="s">
        <v>16</v>
      </c>
    </row>
    <row r="132" spans="1:11">
      <c r="A132" s="1">
        <v>45927</v>
      </c>
      <c r="B132" s="2">
        <v>0.2590277777777778</v>
      </c>
      <c r="C132" s="3">
        <f>24 + 2 * 1.9</f>
        <v>27.8</v>
      </c>
      <c r="D132" s="3" t="s">
        <v>21</v>
      </c>
      <c r="E132" s="2" t="s">
        <v>14</v>
      </c>
      <c r="F132" s="2">
        <v>0.30625000000000002</v>
      </c>
      <c r="G132" s="2" t="s">
        <v>24</v>
      </c>
      <c r="H132" t="s">
        <v>7</v>
      </c>
      <c r="I132">
        <v>1</v>
      </c>
      <c r="J132">
        <v>-0.70199999999999996</v>
      </c>
      <c r="K132" t="s">
        <v>18</v>
      </c>
    </row>
    <row r="133" spans="1:11">
      <c r="A133" s="1">
        <v>45927</v>
      </c>
      <c r="B133" s="2">
        <v>0.2590277777777778</v>
      </c>
      <c r="C133" s="3">
        <f>24 + 2 * 1.9</f>
        <v>27.8</v>
      </c>
      <c r="D133" s="3" t="s">
        <v>21</v>
      </c>
      <c r="E133" s="2" t="s">
        <v>14</v>
      </c>
      <c r="F133" s="2">
        <v>0.30625000000000002</v>
      </c>
      <c r="G133" s="2" t="s">
        <v>24</v>
      </c>
      <c r="H133" t="s">
        <v>7</v>
      </c>
      <c r="I133">
        <v>2</v>
      </c>
      <c r="J133">
        <v>-0.19500000000000001</v>
      </c>
      <c r="K133" t="s">
        <v>18</v>
      </c>
    </row>
    <row r="134" spans="1:11">
      <c r="B134" s="2"/>
      <c r="E134" s="2"/>
      <c r="F134" s="2"/>
      <c r="G134" s="2"/>
    </row>
    <row r="135" spans="1:11">
      <c r="A135" s="1">
        <v>45926</v>
      </c>
      <c r="B135" s="2">
        <v>0.39027777777777778</v>
      </c>
      <c r="C135" s="3">
        <f t="shared" ref="C135:C144" si="10">AVERAGE(24, 24 - 1.9)</f>
        <v>23.05</v>
      </c>
      <c r="D135" s="3" t="s">
        <v>21</v>
      </c>
      <c r="E135" s="2" t="s">
        <v>13</v>
      </c>
      <c r="F135" s="2">
        <v>0.46875</v>
      </c>
      <c r="G135" s="8" t="s">
        <v>32</v>
      </c>
      <c r="H135">
        <v>4</v>
      </c>
      <c r="I135">
        <v>1</v>
      </c>
      <c r="J135">
        <v>-0.80900000000000005</v>
      </c>
    </row>
    <row r="136" spans="1:11">
      <c r="A136" s="1">
        <v>45926</v>
      </c>
      <c r="B136" s="2">
        <v>0.39027777777777778</v>
      </c>
      <c r="C136" s="3">
        <f t="shared" si="10"/>
        <v>23.05</v>
      </c>
      <c r="D136" s="3" t="s">
        <v>21</v>
      </c>
      <c r="E136" s="2" t="s">
        <v>13</v>
      </c>
      <c r="F136" s="2">
        <v>0.46875</v>
      </c>
      <c r="G136" s="8" t="s">
        <v>32</v>
      </c>
      <c r="H136">
        <v>4</v>
      </c>
      <c r="I136">
        <v>2</v>
      </c>
      <c r="J136">
        <v>-0.36</v>
      </c>
    </row>
    <row r="137" spans="1:11">
      <c r="A137" s="1">
        <v>45926</v>
      </c>
      <c r="B137" s="2">
        <v>0.39027777777777778</v>
      </c>
      <c r="C137" s="3">
        <f t="shared" si="10"/>
        <v>23.05</v>
      </c>
      <c r="D137" s="3" t="s">
        <v>21</v>
      </c>
      <c r="E137" s="2" t="s">
        <v>13</v>
      </c>
      <c r="F137" s="2">
        <v>0.46875</v>
      </c>
      <c r="G137" s="8" t="s">
        <v>32</v>
      </c>
      <c r="H137">
        <v>4</v>
      </c>
      <c r="I137">
        <v>3</v>
      </c>
      <c r="J137">
        <v>-0.35699999999999998</v>
      </c>
    </row>
    <row r="138" spans="1:11">
      <c r="A138" s="1">
        <v>45926</v>
      </c>
      <c r="B138" s="2">
        <v>0.39027777777777778</v>
      </c>
      <c r="C138" s="3">
        <f t="shared" si="10"/>
        <v>23.05</v>
      </c>
      <c r="D138" s="3" t="s">
        <v>21</v>
      </c>
      <c r="E138" s="2" t="s">
        <v>13</v>
      </c>
      <c r="F138" s="2">
        <v>0.46875</v>
      </c>
      <c r="G138" s="8" t="s">
        <v>32</v>
      </c>
      <c r="H138">
        <v>4</v>
      </c>
      <c r="I138">
        <v>4</v>
      </c>
      <c r="J138">
        <v>-0.27300000000000002</v>
      </c>
    </row>
    <row r="139" spans="1:11">
      <c r="A139" s="1">
        <v>45926</v>
      </c>
      <c r="B139" s="2">
        <v>0.39027777777777778</v>
      </c>
      <c r="C139" s="3">
        <f t="shared" si="10"/>
        <v>23.05</v>
      </c>
      <c r="D139" s="3" t="s">
        <v>21</v>
      </c>
      <c r="E139" s="2" t="s">
        <v>13</v>
      </c>
      <c r="F139" s="2">
        <v>0.46875</v>
      </c>
      <c r="G139" s="8" t="s">
        <v>32</v>
      </c>
      <c r="H139">
        <v>4</v>
      </c>
      <c r="I139">
        <v>5</v>
      </c>
      <c r="J139">
        <v>-0.40200000000000002</v>
      </c>
    </row>
    <row r="140" spans="1:11">
      <c r="A140" s="1">
        <v>45926</v>
      </c>
      <c r="B140" s="2">
        <v>0.48819444444444443</v>
      </c>
      <c r="C140" s="3">
        <f t="shared" si="10"/>
        <v>23.05</v>
      </c>
      <c r="D140" s="3" t="s">
        <v>21</v>
      </c>
      <c r="E140" s="2" t="s">
        <v>13</v>
      </c>
      <c r="F140" s="2">
        <v>0.56805555555555554</v>
      </c>
      <c r="G140" s="8" t="s">
        <v>54</v>
      </c>
      <c r="H140">
        <v>4</v>
      </c>
      <c r="I140">
        <v>1</v>
      </c>
      <c r="J140">
        <v>-1.048</v>
      </c>
    </row>
    <row r="141" spans="1:11">
      <c r="A141" s="1">
        <v>45926</v>
      </c>
      <c r="B141" s="2">
        <v>0.48819444444444443</v>
      </c>
      <c r="C141" s="3">
        <f t="shared" si="10"/>
        <v>23.05</v>
      </c>
      <c r="D141" s="3" t="s">
        <v>21</v>
      </c>
      <c r="E141" s="2" t="s">
        <v>13</v>
      </c>
      <c r="F141" s="2">
        <v>0.56805555555555554</v>
      </c>
      <c r="G141" s="8" t="s">
        <v>54</v>
      </c>
      <c r="H141">
        <v>4</v>
      </c>
      <c r="I141">
        <v>2</v>
      </c>
      <c r="J141">
        <v>-0.67400000000000004</v>
      </c>
    </row>
    <row r="142" spans="1:11">
      <c r="A142" s="1">
        <v>45926</v>
      </c>
      <c r="B142" s="2">
        <v>0.48819444444444443</v>
      </c>
      <c r="C142" s="3">
        <f t="shared" si="10"/>
        <v>23.05</v>
      </c>
      <c r="D142" s="3" t="s">
        <v>21</v>
      </c>
      <c r="E142" s="2" t="s">
        <v>13</v>
      </c>
      <c r="F142" s="2">
        <v>0.56805555555555554</v>
      </c>
      <c r="G142" s="8" t="s">
        <v>54</v>
      </c>
      <c r="H142">
        <v>4</v>
      </c>
      <c r="I142">
        <v>3</v>
      </c>
      <c r="J142">
        <v>-0.95499999999999996</v>
      </c>
    </row>
    <row r="143" spans="1:11">
      <c r="A143" s="1">
        <v>45926</v>
      </c>
      <c r="B143" s="2">
        <v>0.48819444444444443</v>
      </c>
      <c r="C143" s="3">
        <f t="shared" si="10"/>
        <v>23.05</v>
      </c>
      <c r="D143" s="3" t="s">
        <v>21</v>
      </c>
      <c r="E143" s="2" t="s">
        <v>13</v>
      </c>
      <c r="F143" s="2">
        <v>0.56805555555555554</v>
      </c>
      <c r="G143" s="8" t="s">
        <v>54</v>
      </c>
      <c r="H143">
        <v>4</v>
      </c>
      <c r="I143">
        <v>4</v>
      </c>
      <c r="J143">
        <v>-0.53</v>
      </c>
    </row>
    <row r="144" spans="1:11">
      <c r="A144" s="1">
        <v>45926</v>
      </c>
      <c r="B144" s="2">
        <v>0.48819444444444443</v>
      </c>
      <c r="C144" s="3">
        <f t="shared" si="10"/>
        <v>23.05</v>
      </c>
      <c r="D144" s="3" t="s">
        <v>21</v>
      </c>
      <c r="E144" s="2" t="s">
        <v>13</v>
      </c>
      <c r="F144" s="2">
        <v>0.56805555555555554</v>
      </c>
      <c r="G144" s="8" t="s">
        <v>54</v>
      </c>
      <c r="H144">
        <v>4</v>
      </c>
      <c r="I144">
        <v>5</v>
      </c>
      <c r="J144">
        <v>-0.57999999999999996</v>
      </c>
    </row>
    <row r="145" spans="1:12">
      <c r="A145" s="1">
        <v>45926</v>
      </c>
      <c r="B145" s="2">
        <v>0.60624999999999996</v>
      </c>
      <c r="C145" s="3">
        <v>24</v>
      </c>
      <c r="D145" s="3" t="s">
        <v>21</v>
      </c>
      <c r="E145" s="2" t="s">
        <v>34</v>
      </c>
      <c r="F145" s="2">
        <v>0.66319444444444442</v>
      </c>
      <c r="G145" s="8" t="s">
        <v>28</v>
      </c>
      <c r="H145">
        <v>4</v>
      </c>
      <c r="I145">
        <v>1</v>
      </c>
      <c r="J145" t="s">
        <v>30</v>
      </c>
      <c r="K145">
        <v>-0.62</v>
      </c>
      <c r="L145" t="s">
        <v>33</v>
      </c>
    </row>
    <row r="146" spans="1:12">
      <c r="A146" s="1">
        <v>45926</v>
      </c>
      <c r="B146" s="2">
        <v>0.60624999999999996</v>
      </c>
      <c r="C146" s="3">
        <v>24</v>
      </c>
      <c r="D146" s="3" t="s">
        <v>21</v>
      </c>
      <c r="E146" s="2" t="s">
        <v>34</v>
      </c>
      <c r="F146" s="2">
        <v>0.66319444444444442</v>
      </c>
      <c r="G146" s="8" t="s">
        <v>28</v>
      </c>
      <c r="H146">
        <v>4</v>
      </c>
      <c r="I146">
        <v>2</v>
      </c>
      <c r="J146" t="s">
        <v>30</v>
      </c>
      <c r="K146">
        <v>-0.29599999999999999</v>
      </c>
      <c r="L146" t="s">
        <v>33</v>
      </c>
    </row>
    <row r="147" spans="1:12">
      <c r="A147" s="1">
        <v>45926</v>
      </c>
      <c r="B147" s="2">
        <v>0.60624999999999996</v>
      </c>
      <c r="C147" s="3">
        <v>24</v>
      </c>
      <c r="D147" s="3" t="s">
        <v>21</v>
      </c>
      <c r="E147" s="2" t="s">
        <v>34</v>
      </c>
      <c r="F147" s="2">
        <v>0.66319444444444442</v>
      </c>
      <c r="G147" s="8" t="s">
        <v>28</v>
      </c>
      <c r="H147">
        <v>4</v>
      </c>
      <c r="I147">
        <v>3</v>
      </c>
      <c r="J147" t="s">
        <v>30</v>
      </c>
      <c r="K147">
        <v>-0.51100000000000001</v>
      </c>
      <c r="L147" t="s">
        <v>33</v>
      </c>
    </row>
    <row r="148" spans="1:12">
      <c r="A148" s="1">
        <v>45926</v>
      </c>
      <c r="B148" s="2">
        <v>0.60624999999999996</v>
      </c>
      <c r="C148" s="3">
        <v>24</v>
      </c>
      <c r="D148" s="3" t="s">
        <v>21</v>
      </c>
      <c r="E148" s="2" t="s">
        <v>34</v>
      </c>
      <c r="F148" s="2">
        <v>0.66319444444444442</v>
      </c>
      <c r="G148" s="2" t="s">
        <v>26</v>
      </c>
      <c r="H148">
        <v>4</v>
      </c>
      <c r="I148">
        <v>4</v>
      </c>
      <c r="J148" t="s">
        <v>30</v>
      </c>
      <c r="K148">
        <v>-0.14000000000000001</v>
      </c>
      <c r="L148" t="s">
        <v>33</v>
      </c>
    </row>
    <row r="149" spans="1:12">
      <c r="A149" s="1">
        <v>45926</v>
      </c>
      <c r="B149" s="2">
        <v>0.60624999999999996</v>
      </c>
      <c r="C149" s="3">
        <v>24</v>
      </c>
      <c r="D149" s="3" t="s">
        <v>21</v>
      </c>
      <c r="E149" s="2" t="s">
        <v>34</v>
      </c>
      <c r="F149" s="2">
        <v>0.66319444444444442</v>
      </c>
      <c r="G149" s="2" t="s">
        <v>26</v>
      </c>
      <c r="H149">
        <v>4</v>
      </c>
      <c r="I149">
        <v>5</v>
      </c>
      <c r="J149" t="s">
        <v>30</v>
      </c>
      <c r="K149">
        <v>-0.629</v>
      </c>
      <c r="L149" t="s">
        <v>33</v>
      </c>
    </row>
    <row r="150" spans="1:12">
      <c r="A150" s="1">
        <v>45926</v>
      </c>
      <c r="B150" s="2">
        <v>0.60624999999999996</v>
      </c>
      <c r="C150" s="3">
        <v>24</v>
      </c>
      <c r="D150" s="3" t="s">
        <v>21</v>
      </c>
      <c r="E150" s="2" t="s">
        <v>34</v>
      </c>
      <c r="F150" s="2">
        <v>0.68125000000000002</v>
      </c>
      <c r="G150" s="2" t="s">
        <v>32</v>
      </c>
      <c r="H150">
        <v>4</v>
      </c>
      <c r="I150">
        <v>1</v>
      </c>
      <c r="J150">
        <v>-1.4419999999999999</v>
      </c>
    </row>
    <row r="151" spans="1:12">
      <c r="A151" s="1">
        <v>45926</v>
      </c>
      <c r="B151" s="2">
        <v>0.60624999999999996</v>
      </c>
      <c r="C151" s="3">
        <v>24</v>
      </c>
      <c r="D151" s="3" t="s">
        <v>21</v>
      </c>
      <c r="E151" s="2" t="s">
        <v>34</v>
      </c>
      <c r="F151" s="2">
        <v>0.68125000000000002</v>
      </c>
      <c r="G151" s="2" t="s">
        <v>32</v>
      </c>
      <c r="H151">
        <v>4</v>
      </c>
      <c r="I151">
        <v>2</v>
      </c>
      <c r="J151">
        <v>-0.90600000000000003</v>
      </c>
    </row>
    <row r="152" spans="1:12">
      <c r="A152" s="1">
        <v>45926</v>
      </c>
      <c r="B152" s="2">
        <v>0.60624999999999996</v>
      </c>
      <c r="C152" s="3">
        <v>24</v>
      </c>
      <c r="D152" s="3" t="s">
        <v>21</v>
      </c>
      <c r="E152" s="2" t="s">
        <v>34</v>
      </c>
      <c r="F152" s="2">
        <v>0.68125000000000002</v>
      </c>
      <c r="G152" s="2" t="s">
        <v>32</v>
      </c>
      <c r="H152">
        <v>4</v>
      </c>
      <c r="I152">
        <v>3</v>
      </c>
      <c r="J152">
        <v>-0.86599999999999999</v>
      </c>
    </row>
    <row r="153" spans="1:12">
      <c r="A153" s="1">
        <v>45926</v>
      </c>
      <c r="B153" s="2">
        <v>0.60624999999999996</v>
      </c>
      <c r="C153" s="3">
        <v>24</v>
      </c>
      <c r="D153" s="3" t="s">
        <v>21</v>
      </c>
      <c r="E153" s="2" t="s">
        <v>34</v>
      </c>
      <c r="F153" s="2">
        <v>0.68125000000000002</v>
      </c>
      <c r="G153" s="2" t="s">
        <v>32</v>
      </c>
      <c r="H153">
        <v>4</v>
      </c>
      <c r="I153">
        <v>4</v>
      </c>
      <c r="J153">
        <v>-1.8360000000000001</v>
      </c>
    </row>
    <row r="154" spans="1:12">
      <c r="A154" s="1">
        <v>45926</v>
      </c>
      <c r="B154" s="2">
        <v>0.60624999999999996</v>
      </c>
      <c r="C154" s="3">
        <v>24</v>
      </c>
      <c r="D154" s="3" t="s">
        <v>21</v>
      </c>
      <c r="E154" s="2" t="s">
        <v>34</v>
      </c>
      <c r="F154" s="2">
        <v>0.68125000000000002</v>
      </c>
      <c r="G154" s="2" t="s">
        <v>32</v>
      </c>
      <c r="H154">
        <v>4</v>
      </c>
      <c r="I154">
        <v>5</v>
      </c>
      <c r="J154">
        <v>-1.0820000000000001</v>
      </c>
    </row>
    <row r="155" spans="1:12">
      <c r="A155" s="1">
        <v>45926</v>
      </c>
      <c r="B155" s="2">
        <v>0.70625000000000004</v>
      </c>
      <c r="C155" s="3">
        <f>AVERAGE(24, 24 - 1.9)</f>
        <v>23.05</v>
      </c>
      <c r="D155" s="3" t="s">
        <v>21</v>
      </c>
      <c r="E155" s="2" t="s">
        <v>14</v>
      </c>
      <c r="F155" s="2">
        <v>0.75694444444444442</v>
      </c>
      <c r="G155" s="8" t="s">
        <v>54</v>
      </c>
      <c r="H155">
        <v>4</v>
      </c>
      <c r="I155">
        <v>1</v>
      </c>
      <c r="J155">
        <v>-1.8740000000000001</v>
      </c>
    </row>
    <row r="156" spans="1:12">
      <c r="A156" s="1">
        <v>45926</v>
      </c>
      <c r="B156" s="2">
        <v>0.70625000000000004</v>
      </c>
      <c r="C156" s="3">
        <f>AVERAGE(24, 24 - 1.9)</f>
        <v>23.05</v>
      </c>
      <c r="D156" s="3" t="s">
        <v>21</v>
      </c>
      <c r="E156" s="2" t="s">
        <v>14</v>
      </c>
      <c r="F156" s="2">
        <v>0.75694444444444442</v>
      </c>
      <c r="G156" s="8" t="s">
        <v>54</v>
      </c>
      <c r="H156">
        <v>4</v>
      </c>
      <c r="I156">
        <v>2</v>
      </c>
      <c r="J156">
        <v>-1.5649999999999999</v>
      </c>
    </row>
    <row r="157" spans="1:12">
      <c r="A157" s="1">
        <v>45926</v>
      </c>
      <c r="B157" s="2">
        <v>0.70625000000000004</v>
      </c>
      <c r="C157" s="3">
        <f>AVERAGE(24, 24 - 1.9)</f>
        <v>23.05</v>
      </c>
      <c r="D157" s="3" t="s">
        <v>21</v>
      </c>
      <c r="E157" s="2" t="s">
        <v>14</v>
      </c>
      <c r="F157" s="2">
        <v>0.75694444444444442</v>
      </c>
      <c r="G157" s="8" t="s">
        <v>54</v>
      </c>
      <c r="H157">
        <v>4</v>
      </c>
      <c r="I157">
        <v>3</v>
      </c>
      <c r="J157">
        <v>-0.53</v>
      </c>
    </row>
    <row r="158" spans="1:12">
      <c r="A158" s="1">
        <v>45926</v>
      </c>
      <c r="B158" s="2">
        <v>0.70625000000000004</v>
      </c>
      <c r="C158" s="3">
        <f>AVERAGE(24, 24 - 1.9)</f>
        <v>23.05</v>
      </c>
      <c r="D158" s="3" t="s">
        <v>21</v>
      </c>
      <c r="E158" s="2" t="s">
        <v>14</v>
      </c>
      <c r="F158" s="2">
        <v>0.75694444444444442</v>
      </c>
      <c r="G158" s="8" t="s">
        <v>54</v>
      </c>
      <c r="H158">
        <v>4</v>
      </c>
      <c r="I158">
        <v>4</v>
      </c>
      <c r="J158">
        <v>-0.57699999999999996</v>
      </c>
    </row>
    <row r="159" spans="1:12">
      <c r="A159" s="1">
        <v>45926</v>
      </c>
      <c r="B159" s="2">
        <v>0.70625000000000004</v>
      </c>
      <c r="C159" s="3">
        <f>AVERAGE(24, 24 - 1.9)</f>
        <v>23.05</v>
      </c>
      <c r="D159" s="3" t="s">
        <v>21</v>
      </c>
      <c r="E159" s="2" t="s">
        <v>14</v>
      </c>
      <c r="F159" s="2">
        <v>0.75694444444444442</v>
      </c>
      <c r="G159" s="8" t="s">
        <v>54</v>
      </c>
      <c r="H159">
        <v>4</v>
      </c>
      <c r="I159">
        <v>5</v>
      </c>
      <c r="J159">
        <v>-0.50700000000000001</v>
      </c>
    </row>
    <row r="160" spans="1:12">
      <c r="A160" s="1">
        <v>45926</v>
      </c>
      <c r="B160" s="2">
        <v>0.79305555555555551</v>
      </c>
      <c r="C160" s="3">
        <v>24</v>
      </c>
      <c r="D160" s="3" t="s">
        <v>21</v>
      </c>
      <c r="E160" s="2" t="s">
        <v>14</v>
      </c>
      <c r="F160" s="2">
        <v>0.84027777777777779</v>
      </c>
      <c r="G160" s="8" t="s">
        <v>24</v>
      </c>
      <c r="H160">
        <v>4</v>
      </c>
      <c r="I160">
        <v>1</v>
      </c>
      <c r="J160">
        <v>-0.29599999999999999</v>
      </c>
      <c r="K160" t="s">
        <v>16</v>
      </c>
    </row>
    <row r="161" spans="1:11">
      <c r="A161" s="1">
        <v>45926</v>
      </c>
      <c r="B161" s="2">
        <v>0.79305555555555551</v>
      </c>
      <c r="C161" s="3">
        <v>24</v>
      </c>
      <c r="D161" s="3" t="s">
        <v>21</v>
      </c>
      <c r="E161" s="2" t="s">
        <v>14</v>
      </c>
      <c r="F161" s="2">
        <v>0.84027777777777779</v>
      </c>
      <c r="G161" s="8" t="s">
        <v>24</v>
      </c>
      <c r="H161">
        <v>4</v>
      </c>
      <c r="I161">
        <v>2</v>
      </c>
      <c r="J161">
        <v>-0.26600000000000001</v>
      </c>
      <c r="K161" t="s">
        <v>16</v>
      </c>
    </row>
    <row r="162" spans="1:11">
      <c r="A162" s="1">
        <v>45926</v>
      </c>
      <c r="B162" s="2">
        <v>0.79305555555555551</v>
      </c>
      <c r="C162" s="3">
        <v>24</v>
      </c>
      <c r="D162" s="3" t="s">
        <v>21</v>
      </c>
      <c r="E162" s="2" t="s">
        <v>14</v>
      </c>
      <c r="F162" s="2">
        <v>0.84027777777777779</v>
      </c>
      <c r="G162" s="8" t="s">
        <v>24</v>
      </c>
      <c r="H162">
        <v>4</v>
      </c>
      <c r="I162">
        <v>3</v>
      </c>
      <c r="J162">
        <v>-0.38200000000000001</v>
      </c>
      <c r="K162" t="s">
        <v>16</v>
      </c>
    </row>
    <row r="163" spans="1:11">
      <c r="A163" s="1">
        <v>45926</v>
      </c>
      <c r="B163" s="2">
        <v>0.79305555555555551</v>
      </c>
      <c r="C163" s="3">
        <v>24</v>
      </c>
      <c r="D163" s="3" t="s">
        <v>21</v>
      </c>
      <c r="E163" s="2" t="s">
        <v>14</v>
      </c>
      <c r="F163" s="2">
        <v>0.84027777777777779</v>
      </c>
      <c r="G163" s="8" t="s">
        <v>24</v>
      </c>
      <c r="H163">
        <v>4</v>
      </c>
      <c r="I163">
        <v>4</v>
      </c>
      <c r="J163">
        <v>-0.16700000000000001</v>
      </c>
      <c r="K163" t="s">
        <v>16</v>
      </c>
    </row>
    <row r="164" spans="1:11">
      <c r="A164" s="1">
        <v>45926</v>
      </c>
      <c r="B164" s="2">
        <v>0.79305555555555551</v>
      </c>
      <c r="C164" s="3">
        <v>24</v>
      </c>
      <c r="D164" s="3" t="s">
        <v>21</v>
      </c>
      <c r="E164" s="2" t="s">
        <v>14</v>
      </c>
      <c r="F164" s="2">
        <v>0.84027777777777779</v>
      </c>
      <c r="G164" s="8" t="s">
        <v>24</v>
      </c>
      <c r="H164">
        <v>4</v>
      </c>
      <c r="I164">
        <v>5</v>
      </c>
      <c r="J164">
        <v>-0.374</v>
      </c>
      <c r="K164" t="s">
        <v>16</v>
      </c>
    </row>
    <row r="165" spans="1:11">
      <c r="A165" s="1">
        <v>45927</v>
      </c>
      <c r="B165" s="2">
        <v>0.26597222222222222</v>
      </c>
      <c r="C165" s="3">
        <f>24 - 1.9</f>
        <v>22.1</v>
      </c>
      <c r="D165" s="3" t="s">
        <v>23</v>
      </c>
      <c r="E165" s="2" t="s">
        <v>14</v>
      </c>
      <c r="F165" s="2">
        <v>0.31041666666666667</v>
      </c>
      <c r="G165" s="8" t="s">
        <v>24</v>
      </c>
      <c r="H165">
        <v>4</v>
      </c>
      <c r="I165">
        <v>1</v>
      </c>
      <c r="J165">
        <v>-0.05</v>
      </c>
      <c r="K165" t="s">
        <v>18</v>
      </c>
    </row>
    <row r="166" spans="1:11">
      <c r="A166" s="1">
        <v>45927</v>
      </c>
      <c r="B166" s="2">
        <v>0.26597222222222222</v>
      </c>
      <c r="C166" s="3">
        <f>24 - 1.9</f>
        <v>22.1</v>
      </c>
      <c r="D166" s="3" t="s">
        <v>23</v>
      </c>
      <c r="E166" s="2" t="s">
        <v>14</v>
      </c>
      <c r="F166" s="2">
        <v>0.31041666666666667</v>
      </c>
      <c r="G166" s="8" t="s">
        <v>24</v>
      </c>
      <c r="H166">
        <v>4</v>
      </c>
      <c r="I166">
        <v>2</v>
      </c>
      <c r="J166">
        <v>-7.2999999999999995E-2</v>
      </c>
      <c r="K166" t="s">
        <v>18</v>
      </c>
    </row>
    <row r="167" spans="1:11">
      <c r="A167" s="1">
        <v>45927</v>
      </c>
      <c r="B167" s="2">
        <v>0.26597222222222222</v>
      </c>
      <c r="C167" s="3">
        <f>24 - 1.9</f>
        <v>22.1</v>
      </c>
      <c r="D167" s="3" t="s">
        <v>23</v>
      </c>
      <c r="E167" s="2" t="s">
        <v>14</v>
      </c>
      <c r="F167" s="2">
        <v>0.31041666666666667</v>
      </c>
      <c r="G167" s="8" t="s">
        <v>24</v>
      </c>
      <c r="H167">
        <v>4</v>
      </c>
      <c r="I167">
        <v>3</v>
      </c>
      <c r="J167">
        <v>-0.10299999999999999</v>
      </c>
      <c r="K167" t="s">
        <v>18</v>
      </c>
    </row>
    <row r="168" spans="1:11">
      <c r="A168" s="1">
        <v>45927</v>
      </c>
      <c r="B168" s="2">
        <v>0.26597222222222222</v>
      </c>
      <c r="C168" s="3">
        <f>24 - 1.9</f>
        <v>22.1</v>
      </c>
      <c r="D168" s="3" t="s">
        <v>23</v>
      </c>
      <c r="E168" s="2" t="s">
        <v>14</v>
      </c>
      <c r="F168" s="2">
        <v>0.31041666666666667</v>
      </c>
      <c r="G168" s="8" t="s">
        <v>24</v>
      </c>
      <c r="H168">
        <v>4</v>
      </c>
      <c r="I168">
        <v>4</v>
      </c>
      <c r="J168">
        <v>-0.1</v>
      </c>
      <c r="K168" t="s">
        <v>18</v>
      </c>
    </row>
    <row r="169" spans="1:11">
      <c r="A169" s="1">
        <v>45927</v>
      </c>
      <c r="B169" s="2">
        <v>0.26597222222222222</v>
      </c>
      <c r="C169" s="3">
        <f>24 - 1.9</f>
        <v>22.1</v>
      </c>
      <c r="D169" s="3" t="s">
        <v>23</v>
      </c>
      <c r="E169" s="2" t="s">
        <v>14</v>
      </c>
      <c r="F169" s="2">
        <v>0.31041666666666667</v>
      </c>
      <c r="G169" s="8" t="s">
        <v>24</v>
      </c>
      <c r="H169">
        <v>4</v>
      </c>
      <c r="I169">
        <v>5</v>
      </c>
      <c r="J169">
        <v>-0.13</v>
      </c>
      <c r="K169" t="s">
        <v>18</v>
      </c>
    </row>
    <row r="171" spans="1:11">
      <c r="A171" s="1"/>
      <c r="B171" s="2"/>
      <c r="F171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0E14-2DF7-4774-93EE-872DAA9EEC79}">
  <dimension ref="A1:F33"/>
  <sheetViews>
    <sheetView workbookViewId="0">
      <selection activeCell="H32" sqref="H32"/>
    </sheetView>
  </sheetViews>
  <sheetFormatPr defaultRowHeight="14.5"/>
  <cols>
    <col min="1" max="1" width="11.6328125" customWidth="1"/>
  </cols>
  <sheetData>
    <row r="1" spans="1:6">
      <c r="A1" t="s">
        <v>43</v>
      </c>
      <c r="B1" t="s">
        <v>1</v>
      </c>
      <c r="C1" t="s">
        <v>22</v>
      </c>
      <c r="D1" t="s">
        <v>2</v>
      </c>
      <c r="E1" t="s">
        <v>42</v>
      </c>
      <c r="F1" t="s">
        <v>17</v>
      </c>
    </row>
    <row r="2" spans="1:6">
      <c r="A2" s="1">
        <v>45926</v>
      </c>
      <c r="B2">
        <v>232</v>
      </c>
      <c r="C2" t="s">
        <v>44</v>
      </c>
      <c r="D2" s="5">
        <v>1</v>
      </c>
      <c r="E2" s="5">
        <v>11.11</v>
      </c>
    </row>
    <row r="3" spans="1:6">
      <c r="A3" s="1">
        <v>45926</v>
      </c>
      <c r="B3">
        <v>232</v>
      </c>
      <c r="C3" t="s">
        <v>44</v>
      </c>
      <c r="D3" s="5">
        <v>2</v>
      </c>
      <c r="E3" s="5">
        <v>8.83</v>
      </c>
    </row>
    <row r="4" spans="1:6">
      <c r="A4" s="1">
        <v>45926</v>
      </c>
      <c r="B4">
        <v>232</v>
      </c>
      <c r="C4" t="s">
        <v>44</v>
      </c>
      <c r="D4" s="5">
        <v>3</v>
      </c>
      <c r="E4" s="5">
        <v>11.23</v>
      </c>
    </row>
    <row r="5" spans="1:6">
      <c r="A5" s="1">
        <v>45926</v>
      </c>
      <c r="B5">
        <v>232</v>
      </c>
      <c r="C5" t="s">
        <v>44</v>
      </c>
      <c r="D5" s="5">
        <v>4</v>
      </c>
      <c r="E5" s="5">
        <v>9.8699999999999992</v>
      </c>
    </row>
    <row r="6" spans="1:6">
      <c r="A6" s="1">
        <v>45926</v>
      </c>
      <c r="B6">
        <v>232</v>
      </c>
      <c r="C6" t="s">
        <v>44</v>
      </c>
      <c r="D6" s="5">
        <v>5</v>
      </c>
      <c r="E6" s="5">
        <v>10.71</v>
      </c>
    </row>
    <row r="7" spans="1:6">
      <c r="B7" s="5"/>
    </row>
    <row r="8" spans="1:6">
      <c r="B8" s="5" t="s">
        <v>45</v>
      </c>
      <c r="C8" s="5" t="s">
        <v>44</v>
      </c>
      <c r="D8" s="5">
        <v>1</v>
      </c>
      <c r="E8" s="5">
        <v>34.020000000000003</v>
      </c>
    </row>
    <row r="9" spans="1:6">
      <c r="B9" s="5" t="s">
        <v>45</v>
      </c>
      <c r="C9" s="5" t="s">
        <v>44</v>
      </c>
      <c r="D9" s="5">
        <v>2</v>
      </c>
      <c r="E9" s="5">
        <v>26.24</v>
      </c>
    </row>
    <row r="10" spans="1:6">
      <c r="B10" s="5" t="s">
        <v>45</v>
      </c>
      <c r="C10" s="5" t="s">
        <v>44</v>
      </c>
      <c r="D10" s="5">
        <v>3</v>
      </c>
      <c r="E10">
        <v>18.46</v>
      </c>
    </row>
    <row r="11" spans="1:6">
      <c r="B11" s="5" t="s">
        <v>45</v>
      </c>
      <c r="C11" s="5" t="s">
        <v>44</v>
      </c>
      <c r="D11" s="5">
        <v>4</v>
      </c>
      <c r="E11" s="5">
        <v>18.64</v>
      </c>
    </row>
    <row r="12" spans="1:6">
      <c r="A12" s="1">
        <v>45926</v>
      </c>
      <c r="B12" s="5" t="s">
        <v>45</v>
      </c>
      <c r="C12" s="5" t="s">
        <v>44</v>
      </c>
      <c r="D12" s="5">
        <v>5</v>
      </c>
      <c r="E12" s="5">
        <v>24.33</v>
      </c>
    </row>
    <row r="13" spans="1:6">
      <c r="B13" s="5"/>
    </row>
    <row r="14" spans="1:6">
      <c r="A14" s="1">
        <v>45926</v>
      </c>
      <c r="B14" s="5" t="s">
        <v>4</v>
      </c>
      <c r="C14" s="5" t="s">
        <v>44</v>
      </c>
      <c r="D14" s="5">
        <v>1</v>
      </c>
      <c r="E14" s="5">
        <v>364.23</v>
      </c>
    </row>
    <row r="15" spans="1:6">
      <c r="A15" s="1">
        <v>45926</v>
      </c>
      <c r="B15" s="5" t="s">
        <v>4</v>
      </c>
      <c r="C15" s="5" t="s">
        <v>44</v>
      </c>
      <c r="D15" s="5">
        <v>2</v>
      </c>
      <c r="E15" s="5">
        <v>265.37</v>
      </c>
    </row>
    <row r="16" spans="1:6">
      <c r="A16" s="1">
        <v>45926</v>
      </c>
      <c r="B16" s="5" t="s">
        <v>4</v>
      </c>
      <c r="C16" s="5" t="s">
        <v>44</v>
      </c>
      <c r="D16" s="5">
        <v>3</v>
      </c>
      <c r="E16" s="5">
        <v>245.94</v>
      </c>
    </row>
    <row r="17" spans="1:6">
      <c r="A17" s="1">
        <v>45926</v>
      </c>
      <c r="B17" s="5" t="s">
        <v>4</v>
      </c>
      <c r="C17" s="5" t="s">
        <v>44</v>
      </c>
      <c r="D17" s="5">
        <v>4</v>
      </c>
      <c r="E17" s="5">
        <v>236.67</v>
      </c>
    </row>
    <row r="18" spans="1:6">
      <c r="B18" s="5"/>
      <c r="C18" s="5"/>
    </row>
    <row r="19" spans="1:6">
      <c r="A19" s="1">
        <v>45926</v>
      </c>
      <c r="B19" s="5" t="s">
        <v>46</v>
      </c>
      <c r="C19" s="5" t="s">
        <v>44</v>
      </c>
      <c r="D19" s="5">
        <v>1</v>
      </c>
      <c r="E19" s="5">
        <v>63.23</v>
      </c>
    </row>
    <row r="20" spans="1:6">
      <c r="A20" s="1">
        <v>45926</v>
      </c>
      <c r="B20" s="5" t="s">
        <v>46</v>
      </c>
      <c r="C20" s="5" t="s">
        <v>44</v>
      </c>
      <c r="D20" s="5">
        <v>2</v>
      </c>
      <c r="E20" s="5">
        <v>56.37</v>
      </c>
    </row>
    <row r="21" spans="1:6">
      <c r="A21" s="1">
        <v>45926</v>
      </c>
      <c r="B21" s="5" t="s">
        <v>46</v>
      </c>
      <c r="C21" s="5" t="s">
        <v>44</v>
      </c>
      <c r="D21" s="5">
        <v>3</v>
      </c>
      <c r="E21" s="5">
        <v>48.32</v>
      </c>
    </row>
    <row r="22" spans="1:6">
      <c r="A22" s="1">
        <v>45926</v>
      </c>
      <c r="B22" s="5" t="s">
        <v>46</v>
      </c>
      <c r="C22" s="5" t="s">
        <v>44</v>
      </c>
      <c r="D22" s="5">
        <v>4</v>
      </c>
      <c r="E22" s="5">
        <v>46.74</v>
      </c>
    </row>
    <row r="23" spans="1:6">
      <c r="A23" s="1">
        <v>45926</v>
      </c>
      <c r="B23" s="5" t="s">
        <v>46</v>
      </c>
      <c r="C23" s="5" t="s">
        <v>44</v>
      </c>
      <c r="D23" s="5">
        <v>5</v>
      </c>
      <c r="E23" s="5">
        <v>18.04</v>
      </c>
    </row>
    <row r="25" spans="1:6">
      <c r="A25" s="1">
        <v>45926</v>
      </c>
      <c r="B25" s="5" t="s">
        <v>47</v>
      </c>
      <c r="C25" s="5" t="s">
        <v>44</v>
      </c>
      <c r="D25" s="5">
        <v>1</v>
      </c>
      <c r="E25" s="5">
        <v>36.950000000000003</v>
      </c>
      <c r="F25" t="s">
        <v>48</v>
      </c>
    </row>
    <row r="26" spans="1:6">
      <c r="A26" s="1">
        <v>45926</v>
      </c>
      <c r="B26" s="5" t="s">
        <v>47</v>
      </c>
      <c r="C26" s="5" t="s">
        <v>44</v>
      </c>
      <c r="D26" s="5">
        <v>2</v>
      </c>
      <c r="E26" s="5">
        <v>26.68</v>
      </c>
      <c r="F26" s="5" t="s">
        <v>48</v>
      </c>
    </row>
    <row r="27" spans="1:6">
      <c r="A27" s="1">
        <v>45926</v>
      </c>
      <c r="B27" s="5" t="s">
        <v>47</v>
      </c>
      <c r="C27" s="5" t="s">
        <v>44</v>
      </c>
      <c r="D27" s="5">
        <v>3</v>
      </c>
      <c r="E27" s="5">
        <v>16.940000000000001</v>
      </c>
      <c r="F27" s="5" t="s">
        <v>48</v>
      </c>
    </row>
    <row r="29" spans="1:6">
      <c r="A29" s="1">
        <v>45926</v>
      </c>
      <c r="B29" s="5">
        <v>4</v>
      </c>
      <c r="C29" s="5" t="s">
        <v>44</v>
      </c>
      <c r="D29" s="5">
        <v>1</v>
      </c>
      <c r="E29" s="5">
        <v>73.59</v>
      </c>
    </row>
    <row r="30" spans="1:6">
      <c r="A30" s="1">
        <v>45926</v>
      </c>
      <c r="B30" s="5">
        <v>4</v>
      </c>
      <c r="C30" s="5" t="s">
        <v>44</v>
      </c>
      <c r="D30" s="5">
        <v>2</v>
      </c>
      <c r="E30" s="5">
        <v>55.01</v>
      </c>
    </row>
    <row r="31" spans="1:6">
      <c r="A31" s="1">
        <v>45926</v>
      </c>
      <c r="B31" s="5">
        <v>4</v>
      </c>
      <c r="C31" s="5" t="s">
        <v>44</v>
      </c>
      <c r="D31" s="5">
        <v>3</v>
      </c>
      <c r="E31" s="5">
        <v>71.27</v>
      </c>
    </row>
    <row r="32" spans="1:6">
      <c r="A32" s="1">
        <v>45926</v>
      </c>
      <c r="B32" s="5">
        <v>4</v>
      </c>
      <c r="C32" s="5" t="s">
        <v>44</v>
      </c>
      <c r="D32" s="5">
        <v>4</v>
      </c>
      <c r="E32" s="5">
        <v>83.49</v>
      </c>
    </row>
    <row r="33" spans="1:5">
      <c r="A33" s="1">
        <v>45926</v>
      </c>
      <c r="B33" s="5">
        <v>4</v>
      </c>
      <c r="C33" s="5" t="s">
        <v>44</v>
      </c>
      <c r="D33" s="5">
        <v>5</v>
      </c>
      <c r="E33" s="5">
        <v>112.66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7194-BEE3-41DB-AE75-7F6BA276EA25}">
  <dimension ref="A1:I16"/>
  <sheetViews>
    <sheetView workbookViewId="0">
      <selection activeCell="M10" sqref="M10"/>
    </sheetView>
  </sheetViews>
  <sheetFormatPr defaultRowHeight="14.5"/>
  <cols>
    <col min="1" max="1" width="10.7265625" customWidth="1"/>
  </cols>
  <sheetData>
    <row r="1" spans="1:9">
      <c r="A1" t="s">
        <v>0</v>
      </c>
      <c r="B1" t="s">
        <v>10</v>
      </c>
      <c r="C1" s="3" t="s">
        <v>36</v>
      </c>
      <c r="D1" s="3" t="s">
        <v>37</v>
      </c>
      <c r="E1" t="s">
        <v>9</v>
      </c>
      <c r="F1" t="s">
        <v>22</v>
      </c>
      <c r="G1" t="s">
        <v>39</v>
      </c>
      <c r="H1" t="s">
        <v>40</v>
      </c>
      <c r="I1" t="s">
        <v>17</v>
      </c>
    </row>
    <row r="2" spans="1:9">
      <c r="A2" s="1">
        <v>45926</v>
      </c>
      <c r="B2" s="2">
        <v>0.60416666666666663</v>
      </c>
      <c r="C2" s="3">
        <v>0.1</v>
      </c>
      <c r="D2" s="3" t="s">
        <v>38</v>
      </c>
      <c r="E2" s="2">
        <v>0.67361111111111116</v>
      </c>
      <c r="F2" t="s">
        <v>35</v>
      </c>
      <c r="G2">
        <v>1</v>
      </c>
      <c r="H2">
        <v>-0.27800000000000002</v>
      </c>
      <c r="I2" t="s">
        <v>41</v>
      </c>
    </row>
    <row r="3" spans="1:9">
      <c r="A3" s="7">
        <v>45926</v>
      </c>
      <c r="B3" s="8">
        <v>0.60416666666666663</v>
      </c>
      <c r="C3" s="3">
        <v>0.1</v>
      </c>
      <c r="D3" s="3" t="s">
        <v>38</v>
      </c>
      <c r="E3" s="8">
        <v>0.67361111111111116</v>
      </c>
      <c r="F3" s="6" t="s">
        <v>35</v>
      </c>
      <c r="G3">
        <v>2</v>
      </c>
      <c r="H3">
        <v>-0.152</v>
      </c>
      <c r="I3" t="s">
        <v>41</v>
      </c>
    </row>
    <row r="4" spans="1:9">
      <c r="A4" s="7">
        <v>45926</v>
      </c>
      <c r="B4" s="8">
        <v>0.60416666666666663</v>
      </c>
      <c r="C4" s="3">
        <v>0.1</v>
      </c>
      <c r="D4" s="3" t="s">
        <v>38</v>
      </c>
      <c r="E4" s="8">
        <v>0.67361111111111116</v>
      </c>
      <c r="F4" s="6" t="s">
        <v>35</v>
      </c>
      <c r="G4">
        <v>3</v>
      </c>
      <c r="H4">
        <v>-0.502</v>
      </c>
      <c r="I4" t="s">
        <v>41</v>
      </c>
    </row>
    <row r="5" spans="1:9">
      <c r="A5" s="7">
        <v>45926</v>
      </c>
      <c r="B5" s="8">
        <v>0.60416666666666663</v>
      </c>
      <c r="C5" s="3">
        <v>0.1</v>
      </c>
      <c r="D5" s="3" t="s">
        <v>38</v>
      </c>
      <c r="E5" s="8">
        <v>0.67361111111111116</v>
      </c>
      <c r="F5" s="6" t="s">
        <v>35</v>
      </c>
      <c r="G5">
        <v>4</v>
      </c>
      <c r="H5">
        <v>-0.15</v>
      </c>
      <c r="I5" t="s">
        <v>41</v>
      </c>
    </row>
    <row r="6" spans="1:9">
      <c r="A6" s="7">
        <v>45926</v>
      </c>
      <c r="B6" s="8">
        <v>0.60416666666666663</v>
      </c>
      <c r="C6" s="3">
        <v>0.1</v>
      </c>
      <c r="D6" s="3" t="s">
        <v>38</v>
      </c>
      <c r="E6" s="8">
        <v>0.67361111111111116</v>
      </c>
      <c r="F6" s="6" t="s">
        <v>35</v>
      </c>
      <c r="G6">
        <v>5</v>
      </c>
      <c r="H6">
        <v>-1.1859999999999999</v>
      </c>
      <c r="I6" t="s">
        <v>41</v>
      </c>
    </row>
    <row r="7" spans="1:9" s="6" customFormat="1">
      <c r="A7" s="7"/>
      <c r="B7" s="8"/>
      <c r="C7" s="3"/>
      <c r="D7" s="3"/>
      <c r="E7" s="8"/>
    </row>
    <row r="8" spans="1:9">
      <c r="A8" s="1">
        <v>45927</v>
      </c>
      <c r="B8" s="2">
        <v>0.25347222222222221</v>
      </c>
      <c r="C8" s="3">
        <v>0.1</v>
      </c>
      <c r="D8" s="3" t="s">
        <v>38</v>
      </c>
      <c r="E8" s="2">
        <v>0.39583333333333331</v>
      </c>
      <c r="F8" t="s">
        <v>35</v>
      </c>
      <c r="G8">
        <v>1</v>
      </c>
      <c r="H8">
        <v>-7.0000000000000007E-2</v>
      </c>
      <c r="I8" t="s">
        <v>41</v>
      </c>
    </row>
    <row r="9" spans="1:9">
      <c r="A9" s="7">
        <v>45927</v>
      </c>
      <c r="B9" s="8">
        <v>0.25347222222222221</v>
      </c>
      <c r="C9" s="3">
        <v>0.1</v>
      </c>
      <c r="D9" s="3" t="s">
        <v>38</v>
      </c>
      <c r="E9" s="8">
        <v>0.39583333333333331</v>
      </c>
      <c r="F9" s="6" t="s">
        <v>35</v>
      </c>
      <c r="G9">
        <v>2</v>
      </c>
      <c r="H9">
        <v>-2.1000000000000001E-2</v>
      </c>
      <c r="I9" t="s">
        <v>41</v>
      </c>
    </row>
    <row r="10" spans="1:9">
      <c r="A10" s="7">
        <v>45927</v>
      </c>
      <c r="B10" s="8">
        <v>0.25347222222222221</v>
      </c>
      <c r="C10" s="3">
        <v>0.1</v>
      </c>
      <c r="D10" s="3" t="s">
        <v>38</v>
      </c>
      <c r="E10" s="8">
        <v>0.39583333333333331</v>
      </c>
      <c r="F10" s="6" t="s">
        <v>35</v>
      </c>
      <c r="G10">
        <v>3</v>
      </c>
      <c r="H10">
        <v>-1.6E-2</v>
      </c>
      <c r="I10" t="s">
        <v>41</v>
      </c>
    </row>
    <row r="11" spans="1:9">
      <c r="A11" s="7">
        <v>45927</v>
      </c>
      <c r="B11" s="8">
        <v>0.25347222222222221</v>
      </c>
      <c r="C11" s="3">
        <v>0.1</v>
      </c>
      <c r="D11" s="3" t="s">
        <v>38</v>
      </c>
      <c r="E11" s="8">
        <v>0.39583333333333331</v>
      </c>
      <c r="F11" s="6" t="s">
        <v>35</v>
      </c>
      <c r="G11">
        <v>4</v>
      </c>
      <c r="H11">
        <v>-0.193</v>
      </c>
      <c r="I11" t="s">
        <v>41</v>
      </c>
    </row>
    <row r="12" spans="1:9">
      <c r="A12" s="7">
        <v>45927</v>
      </c>
      <c r="B12" s="8">
        <v>0.25347222222222221</v>
      </c>
      <c r="C12" s="3">
        <v>0.1</v>
      </c>
      <c r="D12" s="3" t="s">
        <v>38</v>
      </c>
      <c r="E12" s="8">
        <v>0.39583333333333331</v>
      </c>
      <c r="F12" s="6" t="s">
        <v>35</v>
      </c>
      <c r="G12">
        <v>5</v>
      </c>
      <c r="H12">
        <v>-6.9000000000000006E-2</v>
      </c>
      <c r="I12" t="s">
        <v>41</v>
      </c>
    </row>
    <row r="13" spans="1:9">
      <c r="A13" s="7">
        <v>45927</v>
      </c>
      <c r="B13" s="8">
        <v>0.25347222222222221</v>
      </c>
      <c r="C13" s="3">
        <v>0.1</v>
      </c>
      <c r="D13" s="3" t="s">
        <v>38</v>
      </c>
      <c r="E13" s="8">
        <v>0.39583333333333331</v>
      </c>
      <c r="F13" s="6" t="s">
        <v>35</v>
      </c>
      <c r="G13">
        <v>6</v>
      </c>
      <c r="H13">
        <v>-3.7999999999999999E-2</v>
      </c>
      <c r="I13" t="s">
        <v>41</v>
      </c>
    </row>
    <row r="14" spans="1:9">
      <c r="A14" s="7">
        <v>45927</v>
      </c>
      <c r="B14" s="8">
        <v>0.25347222222222221</v>
      </c>
      <c r="C14" s="3">
        <v>0.1</v>
      </c>
      <c r="D14" s="3" t="s">
        <v>38</v>
      </c>
      <c r="E14" s="8">
        <v>0.39583333333333331</v>
      </c>
      <c r="F14" s="6" t="s">
        <v>35</v>
      </c>
      <c r="G14">
        <v>7</v>
      </c>
      <c r="H14">
        <v>-0.69</v>
      </c>
      <c r="I14" t="s">
        <v>41</v>
      </c>
    </row>
    <row r="15" spans="1:9">
      <c r="A15" s="7">
        <v>45927</v>
      </c>
      <c r="B15" s="8">
        <v>0.25347222222222221</v>
      </c>
      <c r="C15" s="3">
        <v>0.1</v>
      </c>
      <c r="D15" s="3" t="s">
        <v>38</v>
      </c>
      <c r="E15" s="8">
        <v>0.39583333333333331</v>
      </c>
      <c r="F15" s="6" t="s">
        <v>35</v>
      </c>
      <c r="G15">
        <v>8</v>
      </c>
      <c r="H15">
        <v>-2.9000000000000001E-2</v>
      </c>
      <c r="I15" t="s">
        <v>41</v>
      </c>
    </row>
    <row r="16" spans="1:9">
      <c r="A16" s="7">
        <v>45927</v>
      </c>
      <c r="B16" s="8">
        <v>0.25347222222222221</v>
      </c>
      <c r="C16" s="3">
        <v>0.1</v>
      </c>
      <c r="D16" s="3" t="s">
        <v>38</v>
      </c>
      <c r="E16" s="8">
        <v>0.39583333333333331</v>
      </c>
      <c r="F16" s="6" t="s">
        <v>35</v>
      </c>
      <c r="G16">
        <v>9</v>
      </c>
      <c r="H16">
        <v>-0.06</v>
      </c>
      <c r="I1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5671-8C1D-464C-B8FD-BC461183966F}">
  <dimension ref="A1:G57"/>
  <sheetViews>
    <sheetView tabSelected="1" workbookViewId="0">
      <selection activeCell="F2" sqref="F2"/>
    </sheetView>
  </sheetViews>
  <sheetFormatPr defaultRowHeight="14.5"/>
  <cols>
    <col min="1" max="1" width="12.81640625" customWidth="1"/>
    <col min="2" max="2" width="8.7265625" style="4"/>
    <col min="4" max="4" width="8.7265625" style="4"/>
  </cols>
  <sheetData>
    <row r="1" spans="1:7">
      <c r="A1" s="6" t="s">
        <v>43</v>
      </c>
      <c r="B1" s="4" t="s">
        <v>36</v>
      </c>
      <c r="C1" s="6" t="s">
        <v>51</v>
      </c>
      <c r="D1" s="4" t="s">
        <v>22</v>
      </c>
      <c r="E1" s="6" t="s">
        <v>49</v>
      </c>
      <c r="F1" s="6" t="s">
        <v>53</v>
      </c>
      <c r="G1" s="6" t="s">
        <v>52</v>
      </c>
    </row>
    <row r="2" spans="1:7">
      <c r="A2" s="7">
        <v>45926</v>
      </c>
      <c r="B2" s="4">
        <v>0.1</v>
      </c>
      <c r="C2" s="8">
        <v>0.4826388888888889</v>
      </c>
      <c r="D2" s="4" t="s">
        <v>24</v>
      </c>
      <c r="E2" s="6">
        <v>232</v>
      </c>
      <c r="F2" s="6">
        <v>1</v>
      </c>
      <c r="G2" s="6">
        <v>14.8</v>
      </c>
    </row>
    <row r="3" spans="1:7">
      <c r="A3" s="7">
        <v>45926</v>
      </c>
      <c r="B3" s="4">
        <v>0.1</v>
      </c>
      <c r="C3" s="8">
        <v>0.4826388888888889</v>
      </c>
      <c r="D3" s="4" t="s">
        <v>24</v>
      </c>
      <c r="E3" s="6">
        <v>232</v>
      </c>
      <c r="F3" s="6">
        <v>2</v>
      </c>
      <c r="G3" s="6">
        <v>17.2</v>
      </c>
    </row>
    <row r="4" spans="1:7">
      <c r="A4" s="7">
        <v>45926</v>
      </c>
      <c r="B4" s="4">
        <v>0.1</v>
      </c>
      <c r="C4" s="8">
        <v>0.4826388888888889</v>
      </c>
      <c r="D4" s="4" t="s">
        <v>24</v>
      </c>
      <c r="E4" s="6">
        <v>232</v>
      </c>
      <c r="F4" s="6">
        <v>3</v>
      </c>
      <c r="G4" s="6">
        <v>15.2</v>
      </c>
    </row>
    <row r="5" spans="1:7">
      <c r="A5" s="7">
        <v>45926</v>
      </c>
      <c r="B5" s="4">
        <v>0.1</v>
      </c>
      <c r="C5" s="8">
        <v>0.4826388888888889</v>
      </c>
      <c r="D5" s="4" t="s">
        <v>24</v>
      </c>
      <c r="E5" s="6">
        <v>232</v>
      </c>
      <c r="F5" s="6">
        <v>4</v>
      </c>
      <c r="G5" s="6">
        <v>17.8</v>
      </c>
    </row>
    <row r="6" spans="1:7">
      <c r="A6" s="7">
        <v>45926</v>
      </c>
      <c r="B6" s="4">
        <v>0.1</v>
      </c>
      <c r="C6" s="8">
        <v>0.4826388888888889</v>
      </c>
      <c r="D6" s="4" t="s">
        <v>24</v>
      </c>
      <c r="E6" s="6">
        <v>232</v>
      </c>
      <c r="F6" s="6">
        <v>5</v>
      </c>
      <c r="G6" s="6">
        <v>8.6</v>
      </c>
    </row>
    <row r="7" spans="1:7">
      <c r="A7" s="7">
        <v>45926</v>
      </c>
      <c r="B7" s="4">
        <v>0.1</v>
      </c>
      <c r="C7" s="8">
        <v>0.4826388888888889</v>
      </c>
      <c r="D7" s="4" t="s">
        <v>24</v>
      </c>
      <c r="E7" s="6">
        <v>232</v>
      </c>
      <c r="F7" s="6">
        <v>6</v>
      </c>
      <c r="G7" s="6">
        <v>6.8</v>
      </c>
    </row>
    <row r="8" spans="1:7">
      <c r="A8" s="7">
        <v>45926</v>
      </c>
      <c r="B8" s="4">
        <v>0.1</v>
      </c>
      <c r="C8" s="8">
        <v>0.4826388888888889</v>
      </c>
      <c r="D8" s="4" t="s">
        <v>24</v>
      </c>
      <c r="E8" s="6">
        <v>232</v>
      </c>
      <c r="F8" s="6">
        <v>7</v>
      </c>
      <c r="G8" s="6">
        <v>9.6999999999999993</v>
      </c>
    </row>
    <row r="9" spans="1:7">
      <c r="A9" s="7">
        <v>45926</v>
      </c>
      <c r="B9" s="4">
        <v>0.1</v>
      </c>
      <c r="C9" s="8">
        <v>0.4826388888888889</v>
      </c>
      <c r="D9" s="4" t="s">
        <v>24</v>
      </c>
      <c r="E9" s="6">
        <v>232</v>
      </c>
      <c r="F9" s="6">
        <v>8</v>
      </c>
      <c r="G9" s="6">
        <v>8</v>
      </c>
    </row>
    <row r="10" spans="1:7">
      <c r="A10" s="7">
        <v>45926</v>
      </c>
      <c r="B10" s="4">
        <v>0.1</v>
      </c>
      <c r="C10" s="8">
        <v>0.4826388888888889</v>
      </c>
      <c r="D10" s="4" t="s">
        <v>24</v>
      </c>
      <c r="E10" s="6">
        <v>232</v>
      </c>
      <c r="F10" s="6">
        <v>9</v>
      </c>
      <c r="G10" s="6">
        <v>10.8</v>
      </c>
    </row>
    <row r="11" spans="1:7">
      <c r="A11" s="7">
        <v>45926</v>
      </c>
      <c r="B11" s="4">
        <v>0.1</v>
      </c>
      <c r="C11" s="8">
        <v>0.4826388888888889</v>
      </c>
      <c r="D11" s="4" t="s">
        <v>24</v>
      </c>
      <c r="E11" s="6">
        <v>232</v>
      </c>
      <c r="F11" s="6">
        <v>10</v>
      </c>
      <c r="G11" s="6">
        <v>19.5</v>
      </c>
    </row>
    <row r="13" spans="1:7">
      <c r="A13" s="7">
        <v>45926</v>
      </c>
      <c r="B13" s="4">
        <v>0.1</v>
      </c>
      <c r="C13" s="8">
        <v>0.48333333333333334</v>
      </c>
      <c r="D13" s="4" t="s">
        <v>24</v>
      </c>
      <c r="E13" s="6" t="s">
        <v>3</v>
      </c>
      <c r="F13" s="6">
        <v>1</v>
      </c>
      <c r="G13" s="6">
        <v>9.8000000000000007</v>
      </c>
    </row>
    <row r="14" spans="1:7">
      <c r="A14" s="7">
        <v>45926</v>
      </c>
      <c r="B14" s="4">
        <v>0.1</v>
      </c>
      <c r="C14" s="8">
        <v>0.48333333333333334</v>
      </c>
      <c r="D14" s="4" t="s">
        <v>24</v>
      </c>
      <c r="E14" s="6" t="s">
        <v>3</v>
      </c>
      <c r="F14" s="6">
        <v>2</v>
      </c>
      <c r="G14" s="6">
        <v>11.2</v>
      </c>
    </row>
    <row r="15" spans="1:7">
      <c r="A15" s="7">
        <v>45926</v>
      </c>
      <c r="B15" s="4">
        <v>0.1</v>
      </c>
      <c r="C15" s="8">
        <v>0.48333333333333334</v>
      </c>
      <c r="D15" s="4" t="s">
        <v>24</v>
      </c>
      <c r="E15" s="6" t="s">
        <v>3</v>
      </c>
      <c r="F15" s="6">
        <v>3</v>
      </c>
      <c r="G15" s="6">
        <v>16.3</v>
      </c>
    </row>
    <row r="16" spans="1:7">
      <c r="A16" s="7">
        <v>45926</v>
      </c>
      <c r="B16" s="4">
        <v>0.1</v>
      </c>
      <c r="C16" s="8">
        <v>0.48333333333333334</v>
      </c>
      <c r="D16" s="4" t="s">
        <v>24</v>
      </c>
      <c r="E16" s="6" t="s">
        <v>3</v>
      </c>
      <c r="F16" s="6">
        <v>4</v>
      </c>
      <c r="G16" s="6">
        <v>7.1</v>
      </c>
    </row>
    <row r="17" spans="1:7">
      <c r="A17" s="7">
        <v>45926</v>
      </c>
      <c r="B17" s="4">
        <v>0.1</v>
      </c>
      <c r="C17" s="8">
        <v>0.48333333333333334</v>
      </c>
      <c r="D17" s="4" t="s">
        <v>24</v>
      </c>
      <c r="E17" s="6" t="s">
        <v>3</v>
      </c>
      <c r="F17" s="6">
        <v>5</v>
      </c>
      <c r="G17" s="6">
        <v>10.4</v>
      </c>
    </row>
    <row r="18" spans="1:7">
      <c r="A18" s="7">
        <v>45926</v>
      </c>
      <c r="B18" s="4">
        <v>0.1</v>
      </c>
      <c r="C18" s="8">
        <v>0.48333333333333334</v>
      </c>
      <c r="D18" s="4" t="s">
        <v>24</v>
      </c>
      <c r="E18" s="6" t="s">
        <v>3</v>
      </c>
      <c r="F18" s="6">
        <v>6</v>
      </c>
      <c r="G18" s="6">
        <v>11.8</v>
      </c>
    </row>
    <row r="19" spans="1:7">
      <c r="A19" s="7">
        <v>45926</v>
      </c>
      <c r="B19" s="4">
        <v>0.1</v>
      </c>
      <c r="C19" s="8">
        <v>0.48333333333333334</v>
      </c>
      <c r="D19" s="4" t="s">
        <v>24</v>
      </c>
      <c r="E19" s="6" t="s">
        <v>3</v>
      </c>
      <c r="F19" s="6">
        <v>7</v>
      </c>
      <c r="G19" s="6">
        <v>5.2</v>
      </c>
    </row>
    <row r="20" spans="1:7">
      <c r="A20" s="7">
        <v>45926</v>
      </c>
      <c r="B20" s="4">
        <v>0.1</v>
      </c>
      <c r="C20" s="8">
        <v>0.48333333333333334</v>
      </c>
      <c r="D20" s="4" t="s">
        <v>24</v>
      </c>
      <c r="E20" s="6" t="s">
        <v>3</v>
      </c>
      <c r="F20" s="6">
        <v>8</v>
      </c>
      <c r="G20" s="6">
        <v>9.6</v>
      </c>
    </row>
    <row r="21" spans="1:7">
      <c r="A21" s="7">
        <v>45926</v>
      </c>
      <c r="B21" s="4">
        <v>0.1</v>
      </c>
      <c r="C21" s="8">
        <v>0.48333333333333334</v>
      </c>
      <c r="D21" s="4" t="s">
        <v>24</v>
      </c>
      <c r="E21" s="6" t="s">
        <v>3</v>
      </c>
      <c r="F21" s="6">
        <v>9</v>
      </c>
      <c r="G21" s="6">
        <v>18.600000000000001</v>
      </c>
    </row>
    <row r="22" spans="1:7">
      <c r="A22" s="7">
        <v>45926</v>
      </c>
      <c r="B22" s="4">
        <v>0.1</v>
      </c>
      <c r="C22" s="8">
        <v>0.48333333333333334</v>
      </c>
      <c r="D22" s="4" t="s">
        <v>24</v>
      </c>
      <c r="E22" s="6" t="s">
        <v>3</v>
      </c>
      <c r="F22" s="6">
        <v>10</v>
      </c>
      <c r="G22" s="6">
        <v>13.4</v>
      </c>
    </row>
    <row r="24" spans="1:7">
      <c r="A24" s="7">
        <v>45926</v>
      </c>
      <c r="B24" s="4">
        <v>0.1</v>
      </c>
      <c r="C24" s="8">
        <v>0.48819444444444443</v>
      </c>
      <c r="D24" s="4" t="s">
        <v>24</v>
      </c>
      <c r="E24" s="6" t="s">
        <v>50</v>
      </c>
      <c r="F24" s="6">
        <v>1</v>
      </c>
      <c r="G24" s="6">
        <v>6.8</v>
      </c>
    </row>
    <row r="25" spans="1:7">
      <c r="A25" s="7">
        <v>45926</v>
      </c>
      <c r="B25" s="4">
        <v>0.1</v>
      </c>
      <c r="C25" s="8">
        <v>0.48819444444444443</v>
      </c>
      <c r="D25" s="4" t="s">
        <v>24</v>
      </c>
      <c r="E25" s="6" t="s">
        <v>50</v>
      </c>
      <c r="F25" s="6">
        <v>2</v>
      </c>
      <c r="G25" s="6">
        <v>13</v>
      </c>
    </row>
    <row r="26" spans="1:7">
      <c r="A26" s="7">
        <v>45926</v>
      </c>
      <c r="B26" s="4">
        <v>0.1</v>
      </c>
      <c r="C26" s="8">
        <v>0.48819444444444443</v>
      </c>
      <c r="D26" s="4" t="s">
        <v>24</v>
      </c>
      <c r="E26" s="6" t="s">
        <v>50</v>
      </c>
      <c r="F26" s="6">
        <v>3</v>
      </c>
      <c r="G26" s="6">
        <v>15</v>
      </c>
    </row>
    <row r="27" spans="1:7">
      <c r="A27" s="7">
        <v>45926</v>
      </c>
      <c r="B27" s="4">
        <v>0.1</v>
      </c>
      <c r="C27" s="8">
        <v>0.48819444444444443</v>
      </c>
      <c r="D27" s="4" t="s">
        <v>24</v>
      </c>
      <c r="E27" s="6" t="s">
        <v>50</v>
      </c>
      <c r="F27" s="6">
        <v>4</v>
      </c>
      <c r="G27" s="6">
        <v>6</v>
      </c>
    </row>
    <row r="28" spans="1:7" s="6" customFormat="1">
      <c r="A28" s="7">
        <v>45926</v>
      </c>
      <c r="B28" s="4">
        <v>0.1</v>
      </c>
      <c r="C28" s="8">
        <v>0.48819444444444443</v>
      </c>
      <c r="D28" s="4" t="s">
        <v>24</v>
      </c>
      <c r="E28" s="6" t="s">
        <v>50</v>
      </c>
      <c r="F28" s="6">
        <v>5</v>
      </c>
      <c r="G28" s="6">
        <v>5</v>
      </c>
    </row>
    <row r="29" spans="1:7">
      <c r="A29" s="7">
        <v>45926</v>
      </c>
      <c r="B29" s="4">
        <v>0.1</v>
      </c>
      <c r="C29" s="8">
        <v>0.48819444444444443</v>
      </c>
      <c r="D29" s="4" t="s">
        <v>24</v>
      </c>
      <c r="E29" s="6" t="s">
        <v>50</v>
      </c>
      <c r="F29" s="6">
        <v>6</v>
      </c>
      <c r="G29" s="6">
        <v>13.9</v>
      </c>
    </row>
    <row r="30" spans="1:7">
      <c r="A30" s="7">
        <v>45926</v>
      </c>
      <c r="B30" s="4">
        <v>0.1</v>
      </c>
      <c r="C30" s="8">
        <v>0.48819444444444443</v>
      </c>
      <c r="D30" s="4" t="s">
        <v>24</v>
      </c>
      <c r="E30" s="6" t="s">
        <v>50</v>
      </c>
      <c r="F30" s="6">
        <v>7</v>
      </c>
      <c r="G30" s="6">
        <v>13.5</v>
      </c>
    </row>
    <row r="31" spans="1:7">
      <c r="A31" s="7">
        <v>45926</v>
      </c>
      <c r="B31" s="4">
        <v>0.1</v>
      </c>
      <c r="C31" s="8">
        <v>0.48819444444444443</v>
      </c>
      <c r="D31" s="4" t="s">
        <v>24</v>
      </c>
      <c r="E31" s="6" t="s">
        <v>50</v>
      </c>
      <c r="F31" s="6">
        <v>8</v>
      </c>
      <c r="G31" s="6">
        <v>8.4</v>
      </c>
    </row>
    <row r="32" spans="1:7">
      <c r="A32" s="7">
        <v>45926</v>
      </c>
      <c r="B32" s="4">
        <v>0.1</v>
      </c>
      <c r="C32" s="8">
        <v>0.48819444444444443</v>
      </c>
      <c r="D32" s="4" t="s">
        <v>24</v>
      </c>
      <c r="E32" s="6" t="s">
        <v>50</v>
      </c>
      <c r="F32" s="6">
        <v>9</v>
      </c>
      <c r="G32" s="6">
        <v>6.2</v>
      </c>
    </row>
    <row r="33" spans="1:7">
      <c r="A33" s="7">
        <v>45926</v>
      </c>
      <c r="B33" s="4">
        <v>0.1</v>
      </c>
      <c r="C33" s="8">
        <v>0.48819444444444443</v>
      </c>
      <c r="D33" s="4" t="s">
        <v>24</v>
      </c>
      <c r="E33" s="6" t="s">
        <v>50</v>
      </c>
      <c r="F33" s="6">
        <v>10</v>
      </c>
      <c r="G33" s="6">
        <v>4.8</v>
      </c>
    </row>
    <row r="34" spans="1:7">
      <c r="A34" s="7">
        <v>45926</v>
      </c>
      <c r="B34" s="4">
        <v>0.1</v>
      </c>
      <c r="C34" s="8">
        <v>0.48819444444444443</v>
      </c>
      <c r="D34" s="4" t="s">
        <v>24</v>
      </c>
      <c r="E34" s="6" t="s">
        <v>50</v>
      </c>
      <c r="F34">
        <v>11</v>
      </c>
      <c r="G34" s="6">
        <v>9.6</v>
      </c>
    </row>
    <row r="35" spans="1:7" s="6" customFormat="1">
      <c r="A35" s="7"/>
      <c r="B35" s="4"/>
      <c r="C35" s="8"/>
      <c r="D35" s="4"/>
    </row>
    <row r="36" spans="1:7">
      <c r="A36" s="7">
        <v>45926</v>
      </c>
      <c r="B36" s="4">
        <v>0.1</v>
      </c>
      <c r="C36" s="8">
        <v>0.48541666666666666</v>
      </c>
      <c r="D36" s="4" t="s">
        <v>24</v>
      </c>
      <c r="E36" s="6" t="s">
        <v>4</v>
      </c>
      <c r="F36" s="6">
        <v>1</v>
      </c>
      <c r="G36" s="6">
        <v>21.6</v>
      </c>
    </row>
    <row r="37" spans="1:7">
      <c r="A37" s="7">
        <v>45926</v>
      </c>
      <c r="B37" s="4">
        <v>0.1</v>
      </c>
      <c r="C37" s="8">
        <v>0.48541666666666666</v>
      </c>
      <c r="D37" s="4" t="s">
        <v>24</v>
      </c>
      <c r="E37" s="6" t="s">
        <v>4</v>
      </c>
      <c r="F37" s="6">
        <v>2</v>
      </c>
      <c r="G37" s="6">
        <v>18.2</v>
      </c>
    </row>
    <row r="38" spans="1:7">
      <c r="A38" s="7">
        <v>45926</v>
      </c>
      <c r="B38" s="4">
        <v>0.1</v>
      </c>
      <c r="C38" s="8">
        <v>0.48541666666666666</v>
      </c>
      <c r="D38" s="4" t="s">
        <v>24</v>
      </c>
      <c r="E38" s="6" t="s">
        <v>4</v>
      </c>
      <c r="F38" s="6">
        <v>3</v>
      </c>
      <c r="G38" s="6">
        <v>20.399999999999999</v>
      </c>
    </row>
    <row r="39" spans="1:7">
      <c r="A39" s="7">
        <v>45926</v>
      </c>
      <c r="B39" s="4">
        <v>0.1</v>
      </c>
      <c r="C39" s="8">
        <v>0.48541666666666666</v>
      </c>
      <c r="D39" s="4" t="s">
        <v>24</v>
      </c>
      <c r="E39" s="6" t="s">
        <v>4</v>
      </c>
      <c r="F39" s="6">
        <v>4</v>
      </c>
      <c r="G39" s="6">
        <v>9.1999999999999993</v>
      </c>
    </row>
    <row r="40" spans="1:7">
      <c r="A40" s="7">
        <v>45926</v>
      </c>
      <c r="B40" s="4">
        <v>0.1</v>
      </c>
      <c r="C40" s="8">
        <v>0.48541666666666666</v>
      </c>
      <c r="D40" s="4" t="s">
        <v>24</v>
      </c>
      <c r="E40" s="6" t="s">
        <v>4</v>
      </c>
      <c r="F40" s="6">
        <v>5</v>
      </c>
      <c r="G40" s="6">
        <v>16.399999999999999</v>
      </c>
    </row>
    <row r="41" spans="1:7">
      <c r="A41" s="7">
        <v>45926</v>
      </c>
      <c r="B41" s="4">
        <v>0.1</v>
      </c>
      <c r="C41" s="8">
        <v>0.48541666666666666</v>
      </c>
      <c r="D41" s="4" t="s">
        <v>24</v>
      </c>
      <c r="E41" s="6" t="s">
        <v>4</v>
      </c>
      <c r="F41" s="6">
        <v>6</v>
      </c>
      <c r="G41" s="6">
        <v>9.6</v>
      </c>
    </row>
    <row r="42" spans="1:7">
      <c r="A42" s="7">
        <v>45926</v>
      </c>
      <c r="B42" s="4">
        <v>0.1</v>
      </c>
      <c r="C42" s="8">
        <v>0.48541666666666666</v>
      </c>
      <c r="D42" s="4" t="s">
        <v>24</v>
      </c>
      <c r="E42" s="6" t="s">
        <v>4</v>
      </c>
      <c r="F42" s="6">
        <v>7</v>
      </c>
      <c r="G42" s="6">
        <v>11.6</v>
      </c>
    </row>
    <row r="43" spans="1:7">
      <c r="A43" s="7">
        <v>45926</v>
      </c>
      <c r="B43" s="4">
        <v>0.1</v>
      </c>
      <c r="C43" s="8">
        <v>0.48541666666666666</v>
      </c>
      <c r="D43" s="4" t="s">
        <v>24</v>
      </c>
      <c r="E43" s="6" t="s">
        <v>4</v>
      </c>
      <c r="F43" s="6">
        <v>8</v>
      </c>
      <c r="G43" s="6">
        <v>10</v>
      </c>
    </row>
    <row r="44" spans="1:7">
      <c r="A44" s="7">
        <v>45926</v>
      </c>
      <c r="B44" s="4">
        <v>0.1</v>
      </c>
      <c r="C44" s="8">
        <v>0.48541666666666666</v>
      </c>
      <c r="D44" s="4" t="s">
        <v>24</v>
      </c>
      <c r="E44" s="6" t="s">
        <v>4</v>
      </c>
      <c r="F44" s="6">
        <v>9</v>
      </c>
      <c r="G44" s="6">
        <v>19.7</v>
      </c>
    </row>
    <row r="45" spans="1:7">
      <c r="A45" s="7">
        <v>45926</v>
      </c>
      <c r="B45" s="4">
        <v>0.1</v>
      </c>
      <c r="C45" s="8">
        <v>0.48541666666666666</v>
      </c>
      <c r="D45" s="4" t="s">
        <v>24</v>
      </c>
      <c r="E45" s="6" t="s">
        <v>4</v>
      </c>
      <c r="F45" s="6">
        <v>10</v>
      </c>
      <c r="G45" s="6">
        <v>23.6</v>
      </c>
    </row>
    <row r="46" spans="1:7" s="6" customFormat="1">
      <c r="A46" s="7"/>
      <c r="B46" s="4"/>
      <c r="C46" s="8"/>
      <c r="D46" s="4"/>
    </row>
    <row r="47" spans="1:7">
      <c r="A47" s="7">
        <v>45926</v>
      </c>
      <c r="B47" s="4">
        <v>0.1</v>
      </c>
      <c r="C47" s="8">
        <v>0.49305555555555558</v>
      </c>
      <c r="D47" s="4" t="s">
        <v>24</v>
      </c>
      <c r="E47" s="6">
        <v>4</v>
      </c>
      <c r="F47" s="6">
        <v>1</v>
      </c>
      <c r="G47" s="6">
        <v>7</v>
      </c>
    </row>
    <row r="48" spans="1:7">
      <c r="A48" s="7">
        <v>45926</v>
      </c>
      <c r="B48" s="4">
        <v>0.1</v>
      </c>
      <c r="C48" s="8">
        <v>0.49305555555555558</v>
      </c>
      <c r="D48" s="4" t="s">
        <v>24</v>
      </c>
      <c r="E48" s="6">
        <v>4</v>
      </c>
      <c r="F48" s="6">
        <v>2</v>
      </c>
      <c r="G48" s="6">
        <v>4</v>
      </c>
    </row>
    <row r="49" spans="1:7">
      <c r="A49" s="7">
        <v>45926</v>
      </c>
      <c r="B49" s="4">
        <v>0.1</v>
      </c>
      <c r="C49" s="8">
        <v>0.49305555555555558</v>
      </c>
      <c r="D49" s="4" t="s">
        <v>24</v>
      </c>
      <c r="E49" s="6">
        <v>4</v>
      </c>
      <c r="F49" s="6">
        <v>3</v>
      </c>
      <c r="G49" s="6">
        <v>11.1</v>
      </c>
    </row>
    <row r="50" spans="1:7">
      <c r="A50" s="7">
        <v>45926</v>
      </c>
      <c r="B50" s="4">
        <v>0.1</v>
      </c>
      <c r="C50" s="8">
        <v>0.49305555555555558</v>
      </c>
      <c r="D50" s="4" t="s">
        <v>24</v>
      </c>
      <c r="E50" s="6">
        <v>4</v>
      </c>
      <c r="F50" s="6">
        <v>4</v>
      </c>
      <c r="G50" s="6">
        <v>16.8</v>
      </c>
    </row>
    <row r="51" spans="1:7">
      <c r="A51" s="7">
        <v>45926</v>
      </c>
      <c r="B51" s="4">
        <v>0.1</v>
      </c>
      <c r="C51" s="8">
        <v>0.49305555555555558</v>
      </c>
      <c r="D51" s="4" t="s">
        <v>24</v>
      </c>
      <c r="E51" s="6">
        <v>4</v>
      </c>
      <c r="F51" s="6">
        <v>5</v>
      </c>
      <c r="G51" s="6">
        <v>8.8000000000000007</v>
      </c>
    </row>
    <row r="52" spans="1:7">
      <c r="A52" s="7">
        <v>45926</v>
      </c>
      <c r="B52" s="4">
        <v>0.1</v>
      </c>
      <c r="C52" s="8">
        <v>0.49305555555555558</v>
      </c>
      <c r="D52" s="4" t="s">
        <v>24</v>
      </c>
      <c r="E52" s="6">
        <v>4</v>
      </c>
      <c r="F52" s="6">
        <v>6</v>
      </c>
      <c r="G52" s="6">
        <v>20.6</v>
      </c>
    </row>
    <row r="53" spans="1:7">
      <c r="A53" s="7">
        <v>45926</v>
      </c>
      <c r="B53" s="4">
        <v>0.1</v>
      </c>
      <c r="C53" s="8">
        <v>0.49305555555555558</v>
      </c>
      <c r="D53" s="4" t="s">
        <v>24</v>
      </c>
      <c r="E53" s="6">
        <v>4</v>
      </c>
      <c r="F53" s="6">
        <v>7</v>
      </c>
      <c r="G53" s="6">
        <v>6.2</v>
      </c>
    </row>
    <row r="54" spans="1:7">
      <c r="A54" s="7">
        <v>45926</v>
      </c>
      <c r="B54" s="4">
        <v>0.1</v>
      </c>
      <c r="C54" s="8">
        <v>0.49305555555555558</v>
      </c>
      <c r="D54" s="4" t="s">
        <v>24</v>
      </c>
      <c r="E54" s="6">
        <v>4</v>
      </c>
      <c r="F54" s="6">
        <v>8</v>
      </c>
      <c r="G54" s="6">
        <v>5.8</v>
      </c>
    </row>
    <row r="55" spans="1:7">
      <c r="A55" s="7">
        <v>45926</v>
      </c>
      <c r="B55" s="4">
        <v>0.1</v>
      </c>
      <c r="C55" s="8">
        <v>0.49305555555555558</v>
      </c>
      <c r="D55" s="4" t="s">
        <v>24</v>
      </c>
      <c r="E55" s="6">
        <v>4</v>
      </c>
      <c r="F55" s="6">
        <v>9</v>
      </c>
      <c r="G55" s="6">
        <v>4.9000000000000004</v>
      </c>
    </row>
    <row r="56" spans="1:7">
      <c r="A56" s="7">
        <v>45926</v>
      </c>
      <c r="B56" s="4">
        <v>0.1</v>
      </c>
      <c r="C56" s="8">
        <v>0.49305555555555558</v>
      </c>
      <c r="D56" s="4" t="s">
        <v>24</v>
      </c>
      <c r="E56" s="6">
        <v>4</v>
      </c>
      <c r="F56" s="6">
        <v>10</v>
      </c>
      <c r="G56" s="6">
        <v>10.199999999999999</v>
      </c>
    </row>
    <row r="57" spans="1:7">
      <c r="A57" s="7">
        <v>45926</v>
      </c>
      <c r="B57" s="4">
        <v>0.1</v>
      </c>
      <c r="C57" s="8">
        <v>0.49305555555555558</v>
      </c>
      <c r="D57" s="4" t="s">
        <v>24</v>
      </c>
      <c r="E57" s="6">
        <v>4</v>
      </c>
      <c r="F57" s="6">
        <v>11</v>
      </c>
      <c r="G57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LeafWaterPotential</vt:lpstr>
      <vt:lpstr>LeafArea</vt:lpstr>
      <vt:lpstr>RootWaterPotential</vt:lpstr>
      <vt:lpstr>SoilMoisture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Yuzuo Zhu</dc:creator>
  <cp:lastModifiedBy>Manon Sabot</cp:lastModifiedBy>
  <dcterms:created xsi:type="dcterms:W3CDTF">2025-09-26T21:54:41Z</dcterms:created>
  <dcterms:modified xsi:type="dcterms:W3CDTF">2025-09-28T16:25:36Z</dcterms:modified>
</cp:coreProperties>
</file>